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G28" i="1"/>
  <c r="G29" i="1"/>
  <c r="G30" i="1"/>
  <c r="G31" i="1"/>
  <c r="G21" i="1"/>
  <c r="G20" i="1"/>
  <c r="F22" i="1"/>
  <c r="F23" i="1"/>
  <c r="F24" i="1"/>
  <c r="F25" i="1"/>
  <c r="F26" i="1"/>
  <c r="F27" i="1"/>
  <c r="F28" i="1"/>
  <c r="F29" i="1"/>
  <c r="F30" i="1"/>
  <c r="F31" i="1"/>
  <c r="F21" i="1"/>
  <c r="F20" i="1"/>
  <c r="E22" i="1"/>
  <c r="E23" i="1"/>
  <c r="E24" i="1"/>
  <c r="E25" i="1"/>
  <c r="E26" i="1"/>
  <c r="E27" i="1"/>
  <c r="E28" i="1"/>
  <c r="E29" i="1"/>
  <c r="E30" i="1"/>
  <c r="E31" i="1"/>
  <c r="E21" i="1"/>
  <c r="E20" i="1"/>
  <c r="D26" i="1"/>
  <c r="D27" i="1"/>
  <c r="D28" i="1"/>
  <c r="D29" i="1"/>
  <c r="D30" i="1"/>
  <c r="D31" i="1"/>
  <c r="D25" i="1"/>
  <c r="D24" i="1"/>
  <c r="D22" i="1"/>
  <c r="D21" i="1"/>
  <c r="D20" i="1"/>
  <c r="C23" i="1"/>
  <c r="C24" i="1"/>
  <c r="C25" i="1"/>
  <c r="C26" i="1"/>
  <c r="C27" i="1"/>
  <c r="C28" i="1"/>
  <c r="C29" i="1"/>
  <c r="C30" i="1"/>
  <c r="C31" i="1"/>
  <c r="C22" i="1"/>
  <c r="C21" i="1"/>
  <c r="C20" i="1"/>
  <c r="B23" i="1"/>
  <c r="B24" i="1"/>
  <c r="B25" i="1"/>
  <c r="B26" i="1"/>
  <c r="B27" i="1"/>
  <c r="B28" i="1"/>
  <c r="B29" i="1"/>
  <c r="B30" i="1"/>
  <c r="B31" i="1"/>
  <c r="B22" i="1"/>
  <c r="B21" i="1"/>
  <c r="B20" i="1"/>
</calcChain>
</file>

<file path=xl/sharedStrings.xml><?xml version="1.0" encoding="utf-8"?>
<sst xmlns="http://schemas.openxmlformats.org/spreadsheetml/2006/main" count="78" uniqueCount="19">
  <si>
    <t>stats.jensenshannon_dist.marginal</t>
  </si>
  <si>
    <t>stats.inv_kl_divergence.marginal</t>
  </si>
  <si>
    <t>stats.ks_test.marginal</t>
  </si>
  <si>
    <t>stats.wasserstein_dist.joint</t>
  </si>
  <si>
    <t>performance.linear_model.syn_id</t>
  </si>
  <si>
    <t>performance.linear_model.syn_ood</t>
  </si>
  <si>
    <t>performance.xgb.syn_id</t>
  </si>
  <si>
    <t>performance.xgb.syn_ood</t>
  </si>
  <si>
    <t>detection.detection_xgb.mean</t>
  </si>
  <si>
    <t>detection.detection_linear.mean</t>
  </si>
  <si>
    <t>privacy.delta-presence.score</t>
  </si>
  <si>
    <t>privacy.identifiability_score.</t>
  </si>
  <si>
    <t>ctgan_after</t>
  </si>
  <si>
    <t>ddpm_after</t>
  </si>
  <si>
    <t>dpagn_after</t>
  </si>
  <si>
    <t>qwen_after</t>
  </si>
  <si>
    <t>ddpm_before</t>
  </si>
  <si>
    <t>ctgan_before</t>
  </si>
  <si>
    <t>dpgan_before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</si>
</sst>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/>
    <xf numFmtId="2" fontId="5" fillId="0" borderId="0" xfId="0" applyNumberFormat="1" applyFont="1" applyAlignment="1">
      <alignment horizontal="center"/>
    </xf>
    <xf numFmtId="2" fontId="0" fillId="0" borderId="0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workbookViewId="0">
      <selection activeCell="E16" sqref="E16"/>
    </sheetView>
  </sheetViews>
  <sheetFormatPr defaultRowHeight="14.4" x14ac:dyDescent="0.3"/>
  <cols>
    <col min="1" max="1" width="42.77734375" customWidth="1"/>
    <col min="2" max="2" width="15.88671875" customWidth="1"/>
    <col min="3" max="3" width="12.5546875" customWidth="1"/>
    <col min="4" max="4" width="12.44140625" customWidth="1"/>
    <col min="5" max="5" width="11.21875" customWidth="1"/>
    <col min="6" max="6" width="13.109375" customWidth="1"/>
    <col min="7" max="7" width="11.44140625" customWidth="1"/>
    <col min="8" max="8" width="7.77734375" customWidth="1"/>
    <col min="9" max="9" width="6.77734375" customWidth="1"/>
    <col min="15" max="15" width="5.6640625" customWidth="1"/>
  </cols>
  <sheetData>
    <row r="1" spans="1:19" x14ac:dyDescent="0.3">
      <c r="B1" s="5" t="s">
        <v>17</v>
      </c>
      <c r="C1" s="2" t="s">
        <v>12</v>
      </c>
      <c r="D1" s="4" t="s">
        <v>16</v>
      </c>
      <c r="E1" s="5" t="s">
        <v>13</v>
      </c>
      <c r="F1" s="5" t="s">
        <v>18</v>
      </c>
      <c r="G1" s="5" t="s">
        <v>14</v>
      </c>
      <c r="H1" s="5" t="s">
        <v>15</v>
      </c>
      <c r="I1" s="4" t="s">
        <v>15</v>
      </c>
      <c r="L1" s="5" t="s">
        <v>17</v>
      </c>
      <c r="M1" s="2" t="s">
        <v>12</v>
      </c>
      <c r="N1" s="4" t="s">
        <v>16</v>
      </c>
      <c r="O1" s="5" t="s">
        <v>13</v>
      </c>
      <c r="P1" s="5" t="s">
        <v>18</v>
      </c>
      <c r="Q1" s="5" t="s">
        <v>14</v>
      </c>
      <c r="R1" s="5" t="s">
        <v>15</v>
      </c>
      <c r="S1" s="4" t="s">
        <v>15</v>
      </c>
    </row>
    <row r="2" spans="1:19" x14ac:dyDescent="0.3">
      <c r="A2" s="1" t="s">
        <v>0</v>
      </c>
      <c r="B2" s="7">
        <v>2.29725886781663E-2</v>
      </c>
      <c r="C2" s="3">
        <v>1.962441105939812E-2</v>
      </c>
      <c r="D2" s="3">
        <v>8.3492165024618606E-2</v>
      </c>
      <c r="E2" s="3">
        <v>8.245341513165208E-2</v>
      </c>
      <c r="F2" s="3">
        <v>5.3896020731960002E-2</v>
      </c>
      <c r="G2" s="3">
        <v>5.4363982752086801E-2</v>
      </c>
      <c r="H2" s="8"/>
      <c r="I2" s="3">
        <v>1.7282688644268029E-2</v>
      </c>
      <c r="K2" s="1" t="s">
        <v>0</v>
      </c>
      <c r="L2" s="3">
        <v>2.84069761475686E-2</v>
      </c>
      <c r="M2" s="3">
        <v>2.8322538820472209E-2</v>
      </c>
      <c r="N2" s="3">
        <v>8.0311388388553798E-2</v>
      </c>
      <c r="O2" s="3">
        <v>7.9859982268740248E-2</v>
      </c>
      <c r="P2" s="3">
        <v>5.3777748000579703E-2</v>
      </c>
      <c r="Q2" s="3">
        <v>5.2866722584974303E-2</v>
      </c>
      <c r="R2" s="3">
        <v>2.1450707381721019E-2</v>
      </c>
      <c r="S2" s="3">
        <v>2.133018952193793E-2</v>
      </c>
    </row>
    <row r="3" spans="1:19" x14ac:dyDescent="0.3">
      <c r="A3" s="1" t="s">
        <v>1</v>
      </c>
      <c r="B3" s="7">
        <v>0.61333498950919296</v>
      </c>
      <c r="C3" s="3">
        <v>0.53654596868179971</v>
      </c>
      <c r="D3" s="3">
        <v>7.3806046610133194E-2</v>
      </c>
      <c r="E3" s="3">
        <v>7.6100033731636638E-2</v>
      </c>
      <c r="F3" s="3">
        <v>0.18098386050037199</v>
      </c>
      <c r="G3" s="3">
        <v>0.1708430068030114</v>
      </c>
      <c r="H3" s="8"/>
      <c r="I3" s="3">
        <v>0.7063369947604542</v>
      </c>
      <c r="K3" s="1" t="s">
        <v>1</v>
      </c>
      <c r="L3" s="3">
        <v>0.36290164115936902</v>
      </c>
      <c r="M3" s="3">
        <v>0.35023466167302197</v>
      </c>
      <c r="N3" s="9">
        <v>0.10998213611938901</v>
      </c>
      <c r="O3" s="3">
        <v>0.11098750904693359</v>
      </c>
      <c r="P3" s="3">
        <v>0.14209251878402351</v>
      </c>
      <c r="Q3" s="3">
        <v>0.13696343742943129</v>
      </c>
      <c r="R3" s="3">
        <v>0.65144255039138466</v>
      </c>
      <c r="S3" s="3">
        <v>0.60945822564414154</v>
      </c>
    </row>
    <row r="4" spans="1:19" x14ac:dyDescent="0.3">
      <c r="A4" s="1" t="s">
        <v>2</v>
      </c>
      <c r="B4" s="7">
        <v>0.75693265421618561</v>
      </c>
      <c r="C4" s="6">
        <v>0.80958040261945186</v>
      </c>
      <c r="D4" s="3">
        <v>0.3288058856819468</v>
      </c>
      <c r="E4" s="6">
        <v>0.36333855731139258</v>
      </c>
      <c r="F4" s="3">
        <v>0.36186867641172099</v>
      </c>
      <c r="G4" s="3">
        <v>0.35878029922602961</v>
      </c>
      <c r="H4" s="8"/>
      <c r="I4" s="3">
        <v>0.84238822863610641</v>
      </c>
      <c r="K4" s="1" t="s">
        <v>2</v>
      </c>
      <c r="L4" s="3">
        <v>0.68886408730158699</v>
      </c>
      <c r="M4" s="3">
        <v>0.70171957671957685</v>
      </c>
      <c r="N4" s="3">
        <v>0.45944940476190399</v>
      </c>
      <c r="O4" s="3">
        <v>0.43948412698412692</v>
      </c>
      <c r="P4" s="3">
        <v>0.3721478174603175</v>
      </c>
      <c r="Q4" s="3">
        <v>0.35416666666666669</v>
      </c>
      <c r="R4" s="3">
        <v>0.81026077097505667</v>
      </c>
      <c r="S4" s="3">
        <v>0.80783004258614022</v>
      </c>
    </row>
    <row r="5" spans="1:19" x14ac:dyDescent="0.3">
      <c r="A5" s="1" t="s">
        <v>3</v>
      </c>
      <c r="B5" s="7">
        <v>0.96913580246913578</v>
      </c>
      <c r="C5" s="3">
        <v>2.8305459868220422</v>
      </c>
      <c r="D5" s="12">
        <v>12.503581863663999</v>
      </c>
      <c r="E5" s="3">
        <v>10.029941371607279</v>
      </c>
      <c r="F5" s="3">
        <v>6.9654457610076497</v>
      </c>
      <c r="G5" s="3">
        <v>6.5933045119480367</v>
      </c>
      <c r="H5" s="8"/>
      <c r="I5" s="3">
        <v>0.3811493675968694</v>
      </c>
      <c r="K5" s="1" t="s">
        <v>3</v>
      </c>
      <c r="L5" s="3">
        <v>0.39450300367922397</v>
      </c>
      <c r="M5" s="3">
        <v>3.518083447803197</v>
      </c>
      <c r="N5" s="3">
        <v>2.25413253756285</v>
      </c>
      <c r="O5" s="3">
        <v>8.4624426417205143</v>
      </c>
      <c r="P5" s="3">
        <v>1.165156813073869</v>
      </c>
      <c r="Q5" s="3">
        <v>5.2070969150583526</v>
      </c>
      <c r="R5" s="3">
        <v>0.23295194147968859</v>
      </c>
      <c r="S5" s="3">
        <v>0.2406653355422109</v>
      </c>
    </row>
    <row r="6" spans="1:19" x14ac:dyDescent="0.3">
      <c r="A6" s="1" t="s">
        <v>4</v>
      </c>
      <c r="B6" s="7">
        <v>0.93755010421677076</v>
      </c>
      <c r="C6" s="6">
        <v>0.986739417989418</v>
      </c>
      <c r="D6" s="11">
        <v>0.97</v>
      </c>
      <c r="E6" s="6">
        <v>0.98356481481481484</v>
      </c>
      <c r="F6" s="3">
        <v>0.9862113195446528</v>
      </c>
      <c r="G6" s="3">
        <v>0.9833540013227513</v>
      </c>
      <c r="H6" s="8"/>
      <c r="I6" s="3">
        <v>0.97418568121693117</v>
      </c>
      <c r="K6" s="1" t="s">
        <v>4</v>
      </c>
      <c r="L6" s="3">
        <v>0.89806584362139918</v>
      </c>
      <c r="M6" s="6">
        <v>0.99413037807275106</v>
      </c>
      <c r="N6" s="3">
        <v>0.71384773662551437</v>
      </c>
      <c r="O6" s="6">
        <v>0.95209177606833462</v>
      </c>
      <c r="P6" s="3">
        <v>0.57779835390946499</v>
      </c>
      <c r="Q6" s="6">
        <v>0.99678089131015057</v>
      </c>
      <c r="R6" s="3">
        <v>0.99285699119124471</v>
      </c>
      <c r="S6" s="3">
        <v>0.99102153049091224</v>
      </c>
    </row>
    <row r="7" spans="1:19" x14ac:dyDescent="0.3">
      <c r="A7" s="1" t="s">
        <v>5</v>
      </c>
      <c r="B7" s="7">
        <v>0.82142857142857151</v>
      </c>
      <c r="C7" s="6">
        <v>0.98571428571428577</v>
      </c>
      <c r="D7" s="11">
        <v>0.97</v>
      </c>
      <c r="E7" s="6">
        <v>0.99077380952380945</v>
      </c>
      <c r="F7" s="3">
        <v>0.99107142857142838</v>
      </c>
      <c r="G7" s="3">
        <v>0.98214285714285732</v>
      </c>
      <c r="H7" s="8"/>
      <c r="I7" s="3">
        <v>0.97202380952380951</v>
      </c>
      <c r="K7" s="1" t="s">
        <v>5</v>
      </c>
      <c r="L7" s="3">
        <v>0.9296875</v>
      </c>
      <c r="M7" s="6">
        <v>0.99279336734693879</v>
      </c>
      <c r="N7" s="3">
        <v>0.6953125</v>
      </c>
      <c r="O7" s="6">
        <v>0.94582270408163271</v>
      </c>
      <c r="P7" s="3">
        <v>0.546875</v>
      </c>
      <c r="Q7" s="6">
        <v>0.99483418367346954</v>
      </c>
      <c r="R7" s="3">
        <v>0.98545918367346952</v>
      </c>
      <c r="S7" s="3">
        <v>0.98402423469387768</v>
      </c>
    </row>
    <row r="8" spans="1:19" x14ac:dyDescent="0.3">
      <c r="A8" s="1" t="s">
        <v>6</v>
      </c>
      <c r="B8" s="7">
        <v>0.93386243386243384</v>
      </c>
      <c r="C8" s="6">
        <v>0.98540426587301577</v>
      </c>
      <c r="D8" s="3">
        <v>0.5</v>
      </c>
      <c r="E8" s="6">
        <v>0.81874999999999998</v>
      </c>
      <c r="F8" s="3">
        <v>0.94668911335577999</v>
      </c>
      <c r="G8" s="6">
        <v>0.99414682539682531</v>
      </c>
      <c r="H8" s="8"/>
      <c r="I8" s="3">
        <v>0.94883019179894179</v>
      </c>
      <c r="K8" s="1" t="s">
        <v>6</v>
      </c>
      <c r="L8" s="3">
        <v>0.89936213991769554</v>
      </c>
      <c r="M8" s="6">
        <v>0.97560059695697543</v>
      </c>
      <c r="N8" s="3">
        <v>0.61995884773662546</v>
      </c>
      <c r="O8" s="3">
        <v>0.45144340435341801</v>
      </c>
      <c r="P8" s="3">
        <v>0.69109053497942297</v>
      </c>
      <c r="Q8" s="6">
        <v>0.76059568298187286</v>
      </c>
      <c r="R8" s="3">
        <v>0.99589667912349245</v>
      </c>
      <c r="S8" s="3">
        <v>0.99432496542017523</v>
      </c>
    </row>
    <row r="9" spans="1:19" x14ac:dyDescent="0.3">
      <c r="A9" s="1" t="s">
        <v>7</v>
      </c>
      <c r="B9" s="7">
        <v>0.94642857142857162</v>
      </c>
      <c r="C9" s="6">
        <v>0.99285714285714288</v>
      </c>
      <c r="D9" s="3">
        <v>0.5</v>
      </c>
      <c r="E9" s="6">
        <v>0.81874999999999998</v>
      </c>
      <c r="F9" s="3">
        <v>0.91964285714285721</v>
      </c>
      <c r="G9" s="6">
        <v>0.99434523809523812</v>
      </c>
      <c r="H9" s="8"/>
      <c r="I9" s="3">
        <v>0.9425595238095239</v>
      </c>
      <c r="K9" s="1" t="s">
        <v>7</v>
      </c>
      <c r="L9" s="3">
        <v>0.90625</v>
      </c>
      <c r="M9" s="6">
        <v>0.97394770408163267</v>
      </c>
      <c r="N9" s="3">
        <v>0.59375</v>
      </c>
      <c r="O9" s="3">
        <v>0.4475446428571429</v>
      </c>
      <c r="P9" s="3">
        <v>0.875</v>
      </c>
      <c r="Q9" s="3">
        <v>0.7595025510204082</v>
      </c>
      <c r="R9" s="3">
        <v>0.99231505102040818</v>
      </c>
      <c r="S9" s="3">
        <v>0.98979591836734693</v>
      </c>
    </row>
    <row r="10" spans="1:19" x14ac:dyDescent="0.3">
      <c r="A10" s="1" t="s">
        <v>8</v>
      </c>
      <c r="B10" s="7">
        <v>0.988026607538802</v>
      </c>
      <c r="C10" s="6">
        <v>0.95621118012422368</v>
      </c>
      <c r="D10" s="3">
        <v>0.99953831948291783</v>
      </c>
      <c r="E10" s="3">
        <v>1</v>
      </c>
      <c r="F10" s="3">
        <v>1</v>
      </c>
      <c r="G10" s="3">
        <v>1</v>
      </c>
      <c r="H10" s="8"/>
      <c r="I10" s="3">
        <v>0.85877298504897759</v>
      </c>
      <c r="K10" s="1" t="s">
        <v>8</v>
      </c>
      <c r="L10" s="3">
        <v>0.94539835164835095</v>
      </c>
      <c r="M10" s="6">
        <v>0.9</v>
      </c>
      <c r="N10" s="3">
        <v>0.98750000000000004</v>
      </c>
      <c r="O10" s="3">
        <v>0.99166666666666681</v>
      </c>
      <c r="P10" s="3">
        <v>0.97692307692307701</v>
      </c>
      <c r="Q10" s="3">
        <v>0.96571428571428586</v>
      </c>
      <c r="R10" s="3">
        <v>0.69591836734693879</v>
      </c>
      <c r="S10" s="3">
        <v>0.69448529411764715</v>
      </c>
    </row>
    <row r="11" spans="1:19" x14ac:dyDescent="0.3">
      <c r="A11" s="1" t="s">
        <v>9</v>
      </c>
      <c r="B11" s="7">
        <v>0.95790031813361598</v>
      </c>
      <c r="C11" s="6">
        <v>0.59203839638622247</v>
      </c>
      <c r="D11" s="3">
        <v>0.99976915974145875</v>
      </c>
      <c r="E11" s="6">
        <v>0.56699604743082999</v>
      </c>
      <c r="F11" s="3">
        <v>1</v>
      </c>
      <c r="G11" s="6">
        <v>0.79333333333333333</v>
      </c>
      <c r="H11" s="8"/>
      <c r="I11" s="3">
        <v>0.49328063241106718</v>
      </c>
      <c r="K11" s="1" t="s">
        <v>9</v>
      </c>
      <c r="L11" s="3">
        <v>0.89010989010988995</v>
      </c>
      <c r="M11" s="6">
        <v>0.8504761904761905</v>
      </c>
      <c r="N11" s="3">
        <v>0.92305402930402902</v>
      </c>
      <c r="O11" s="3">
        <v>0.91785714285714293</v>
      </c>
      <c r="P11" s="3">
        <v>1</v>
      </c>
      <c r="Q11" s="3">
        <v>0.99375000000000002</v>
      </c>
      <c r="R11" s="3">
        <v>0.4762755102040816</v>
      </c>
      <c r="S11" s="3">
        <v>0.54590336134453776</v>
      </c>
    </row>
    <row r="12" spans="1:19" x14ac:dyDescent="0.3">
      <c r="A12" s="1" t="s">
        <v>10</v>
      </c>
      <c r="B12" s="7">
        <v>1.7272727257024789</v>
      </c>
      <c r="C12" s="3">
        <v>0.93229813664596273</v>
      </c>
      <c r="D12" s="3">
        <v>2.4285714251020409</v>
      </c>
      <c r="E12" s="6">
        <v>0.99652173913043485</v>
      </c>
      <c r="F12" s="3">
        <v>16.99999983</v>
      </c>
      <c r="G12" s="3">
        <v>1</v>
      </c>
      <c r="H12" s="8"/>
      <c r="I12" s="3">
        <v>0.68425846365354859</v>
      </c>
      <c r="K12" s="1" t="s">
        <v>10</v>
      </c>
      <c r="L12" s="3">
        <v>1.4545454532231401</v>
      </c>
      <c r="M12" s="3">
        <v>1.9999999975</v>
      </c>
      <c r="N12" s="3">
        <v>1.1111111104938269</v>
      </c>
      <c r="O12" s="3">
        <v>3.3333333277777779</v>
      </c>
      <c r="P12" s="3">
        <v>19.999999800000001</v>
      </c>
      <c r="Q12" s="3">
        <v>19.999999800000001</v>
      </c>
      <c r="R12" s="3">
        <v>0.99999999949999996</v>
      </c>
      <c r="S12" s="3">
        <v>0.45454545444214878</v>
      </c>
    </row>
    <row r="13" spans="1:19" x14ac:dyDescent="0.3">
      <c r="A13" s="1" t="s">
        <v>11</v>
      </c>
      <c r="B13" s="7">
        <v>0.18421052631578941</v>
      </c>
      <c r="C13" s="3">
        <v>0.1140350877192982</v>
      </c>
      <c r="D13" s="3">
        <v>0</v>
      </c>
      <c r="E13" s="3">
        <v>0</v>
      </c>
      <c r="F13" s="3">
        <v>0</v>
      </c>
      <c r="G13" s="3">
        <v>0</v>
      </c>
      <c r="H13" s="8"/>
      <c r="I13" s="3">
        <v>0.45614035087719301</v>
      </c>
      <c r="K13" s="1" t="s">
        <v>11</v>
      </c>
      <c r="L13" s="3">
        <v>0.5</v>
      </c>
      <c r="M13" s="3">
        <v>0.52777777777777779</v>
      </c>
      <c r="N13" s="9">
        <v>5.5555555555555497E-2</v>
      </c>
      <c r="O13" s="3">
        <v>5.5555555555555552E-2</v>
      </c>
      <c r="P13" s="3">
        <v>0.16666666666666671</v>
      </c>
      <c r="Q13" s="3">
        <v>0.1388888888888889</v>
      </c>
      <c r="R13" s="3">
        <v>0.47222222222222199</v>
      </c>
      <c r="S13" s="3">
        <v>0.75</v>
      </c>
    </row>
    <row r="14" spans="1:19" x14ac:dyDescent="0.3">
      <c r="F14" s="3"/>
    </row>
    <row r="19" spans="1:9" x14ac:dyDescent="0.3">
      <c r="B19" s="5" t="s">
        <v>17</v>
      </c>
      <c r="C19" s="2" t="s">
        <v>12</v>
      </c>
      <c r="D19" s="4" t="s">
        <v>16</v>
      </c>
      <c r="E19" s="5" t="s">
        <v>13</v>
      </c>
      <c r="F19" s="5" t="s">
        <v>18</v>
      </c>
      <c r="G19" s="5" t="s">
        <v>14</v>
      </c>
      <c r="H19" s="5" t="s">
        <v>15</v>
      </c>
      <c r="I19" s="4" t="s">
        <v>15</v>
      </c>
    </row>
    <row r="20" spans="1:9" x14ac:dyDescent="0.3">
      <c r="A20" s="1" t="s">
        <v>0</v>
      </c>
      <c r="B20" s="7">
        <f t="shared" ref="B20:G21" si="0">AVERAGE(B2,L2)</f>
        <v>2.568978241286745E-2</v>
      </c>
      <c r="C20" s="10">
        <f t="shared" si="0"/>
        <v>2.3973474939935166E-2</v>
      </c>
      <c r="D20" s="7">
        <f t="shared" si="0"/>
        <v>8.1901776706586202E-2</v>
      </c>
      <c r="E20" s="7">
        <f t="shared" si="0"/>
        <v>8.1156698700196164E-2</v>
      </c>
      <c r="F20" s="7">
        <f t="shared" si="0"/>
        <v>5.3836884366269849E-2</v>
      </c>
      <c r="G20" s="7">
        <f t="shared" si="0"/>
        <v>5.3615352668530555E-2</v>
      </c>
    </row>
    <row r="21" spans="1:9" x14ac:dyDescent="0.3">
      <c r="A21" s="1" t="s">
        <v>1</v>
      </c>
      <c r="B21" s="7">
        <f t="shared" si="0"/>
        <v>0.48811831533428096</v>
      </c>
      <c r="C21" s="7">
        <f t="shared" si="0"/>
        <v>0.44339031517741084</v>
      </c>
      <c r="D21" s="7">
        <f t="shared" si="0"/>
        <v>9.1894091364761094E-2</v>
      </c>
      <c r="E21" s="7">
        <f t="shared" si="0"/>
        <v>9.3543771389285116E-2</v>
      </c>
      <c r="F21" s="7">
        <f t="shared" si="0"/>
        <v>0.16153818964219774</v>
      </c>
      <c r="G21" s="7">
        <f t="shared" si="0"/>
        <v>0.15390322211622134</v>
      </c>
    </row>
    <row r="22" spans="1:9" x14ac:dyDescent="0.3">
      <c r="A22" s="1" t="s">
        <v>2</v>
      </c>
      <c r="B22" s="7">
        <f>AVERAGE(B4,L4)</f>
        <v>0.7228983707588863</v>
      </c>
      <c r="C22" s="10">
        <f>AVERAGE(C4,M4)</f>
        <v>0.75564998966951435</v>
      </c>
      <c r="D22" s="7">
        <f>AVERAGE(D4,N4)</f>
        <v>0.39412764522192539</v>
      </c>
      <c r="E22" s="7">
        <f t="shared" ref="E22:E31" si="1">AVERAGE(E4,O4)</f>
        <v>0.40141134214775975</v>
      </c>
      <c r="F22" s="7">
        <f t="shared" ref="F22:F31" si="2">AVERAGE(F4,P4)</f>
        <v>0.36700824693601924</v>
      </c>
      <c r="G22" s="7">
        <f t="shared" ref="G22:G31" si="3">AVERAGE(G4,Q4)</f>
        <v>0.35647348294634817</v>
      </c>
    </row>
    <row r="23" spans="1:9" x14ac:dyDescent="0.3">
      <c r="A23" s="1" t="s">
        <v>3</v>
      </c>
      <c r="B23" s="7">
        <f t="shared" ref="B23:B31" si="4">AVERAGE(B5,L5)</f>
        <v>0.68181940307417988</v>
      </c>
      <c r="C23" s="7">
        <f t="shared" ref="C23:C31" si="5">AVERAGE(C5,M5)</f>
        <v>3.1743147173126198</v>
      </c>
      <c r="E23" s="7">
        <f t="shared" si="1"/>
        <v>9.2461920066638967</v>
      </c>
      <c r="F23" s="7">
        <f t="shared" si="2"/>
        <v>4.065301287040759</v>
      </c>
      <c r="G23" s="7">
        <f t="shared" si="3"/>
        <v>5.9002007135031942</v>
      </c>
    </row>
    <row r="24" spans="1:9" x14ac:dyDescent="0.3">
      <c r="A24" s="1" t="s">
        <v>4</v>
      </c>
      <c r="B24" s="7">
        <f t="shared" si="4"/>
        <v>0.91780797391908497</v>
      </c>
      <c r="C24" s="10">
        <f t="shared" si="5"/>
        <v>0.99043489803108453</v>
      </c>
      <c r="D24" s="7">
        <f>AVERAGE(D6,N6)</f>
        <v>0.84192386831275723</v>
      </c>
      <c r="E24" s="10">
        <f t="shared" si="1"/>
        <v>0.96782829544157467</v>
      </c>
      <c r="F24" s="7">
        <f t="shared" si="2"/>
        <v>0.78200483672705889</v>
      </c>
      <c r="G24" s="10">
        <f t="shared" si="3"/>
        <v>0.99006744631645094</v>
      </c>
    </row>
    <row r="25" spans="1:9" x14ac:dyDescent="0.3">
      <c r="A25" s="1" t="s">
        <v>5</v>
      </c>
      <c r="B25" s="7">
        <f t="shared" si="4"/>
        <v>0.87555803571428581</v>
      </c>
      <c r="C25" s="10">
        <f t="shared" si="5"/>
        <v>0.98925382653061233</v>
      </c>
      <c r="D25" s="7">
        <f>AVERAGE(D7,N7)</f>
        <v>0.83265624999999999</v>
      </c>
      <c r="E25" s="10">
        <f t="shared" si="1"/>
        <v>0.96829825680272108</v>
      </c>
      <c r="F25" s="7">
        <f t="shared" si="2"/>
        <v>0.76897321428571419</v>
      </c>
      <c r="G25" s="10">
        <f t="shared" si="3"/>
        <v>0.98848852040816348</v>
      </c>
    </row>
    <row r="26" spans="1:9" x14ac:dyDescent="0.3">
      <c r="A26" s="1" t="s">
        <v>6</v>
      </c>
      <c r="B26" s="7">
        <f t="shared" si="4"/>
        <v>0.91661228689006469</v>
      </c>
      <c r="C26" s="10">
        <f t="shared" si="5"/>
        <v>0.9805024314149956</v>
      </c>
      <c r="D26" s="7">
        <f t="shared" ref="D26:D31" si="6">AVERAGE(D8,N8)</f>
        <v>0.55997942386831268</v>
      </c>
      <c r="E26" s="10">
        <f t="shared" si="1"/>
        <v>0.63509670217670899</v>
      </c>
      <c r="F26" s="7">
        <f t="shared" si="2"/>
        <v>0.81888982416760148</v>
      </c>
      <c r="G26" s="10">
        <f t="shared" si="3"/>
        <v>0.87737125418934903</v>
      </c>
    </row>
    <row r="27" spans="1:9" x14ac:dyDescent="0.3">
      <c r="A27" s="1" t="s">
        <v>7</v>
      </c>
      <c r="B27" s="7">
        <f t="shared" si="4"/>
        <v>0.92633928571428581</v>
      </c>
      <c r="C27" s="10">
        <f t="shared" si="5"/>
        <v>0.98340242346938778</v>
      </c>
      <c r="D27" s="7">
        <f t="shared" si="6"/>
        <v>0.546875</v>
      </c>
      <c r="E27" s="10">
        <f t="shared" si="1"/>
        <v>0.63314732142857144</v>
      </c>
      <c r="F27" s="7">
        <f t="shared" si="2"/>
        <v>0.8973214285714286</v>
      </c>
      <c r="G27" s="7">
        <f t="shared" si="3"/>
        <v>0.87692389455782316</v>
      </c>
    </row>
    <row r="28" spans="1:9" x14ac:dyDescent="0.3">
      <c r="A28" s="1" t="s">
        <v>8</v>
      </c>
      <c r="B28" s="7">
        <f t="shared" si="4"/>
        <v>0.96671247959357642</v>
      </c>
      <c r="C28" s="10">
        <f t="shared" si="5"/>
        <v>0.9281055900621118</v>
      </c>
      <c r="D28" s="7">
        <f t="shared" si="6"/>
        <v>0.99351915974145899</v>
      </c>
      <c r="E28" s="7">
        <f t="shared" si="1"/>
        <v>0.99583333333333335</v>
      </c>
      <c r="F28" s="7">
        <f t="shared" si="2"/>
        <v>0.9884615384615385</v>
      </c>
      <c r="G28" s="7">
        <f t="shared" si="3"/>
        <v>0.98285714285714287</v>
      </c>
    </row>
    <row r="29" spans="1:9" x14ac:dyDescent="0.3">
      <c r="A29" s="1" t="s">
        <v>9</v>
      </c>
      <c r="B29" s="7">
        <f t="shared" si="4"/>
        <v>0.92400510412175296</v>
      </c>
      <c r="C29" s="10">
        <f t="shared" si="5"/>
        <v>0.72125729343120648</v>
      </c>
      <c r="D29" s="7">
        <f t="shared" si="6"/>
        <v>0.96141159452274394</v>
      </c>
      <c r="E29" s="10">
        <f t="shared" si="1"/>
        <v>0.74242659514398646</v>
      </c>
      <c r="F29" s="7">
        <f t="shared" si="2"/>
        <v>1</v>
      </c>
      <c r="G29" s="10">
        <f t="shared" si="3"/>
        <v>0.89354166666666668</v>
      </c>
    </row>
    <row r="30" spans="1:9" x14ac:dyDescent="0.3">
      <c r="A30" s="1" t="s">
        <v>10</v>
      </c>
      <c r="B30" s="7">
        <f t="shared" si="4"/>
        <v>1.5909090894628095</v>
      </c>
      <c r="C30" s="10">
        <f t="shared" si="5"/>
        <v>1.4661490670729813</v>
      </c>
      <c r="D30" s="7">
        <f t="shared" si="6"/>
        <v>1.769841267797934</v>
      </c>
      <c r="E30" s="7">
        <f t="shared" si="1"/>
        <v>2.1649275334541063</v>
      </c>
      <c r="F30" s="7">
        <f t="shared" si="2"/>
        <v>18.499999815000002</v>
      </c>
      <c r="G30" s="10">
        <f t="shared" si="3"/>
        <v>10.499999900000001</v>
      </c>
    </row>
    <row r="31" spans="1:9" x14ac:dyDescent="0.3">
      <c r="A31" s="1" t="s">
        <v>11</v>
      </c>
      <c r="B31" s="7">
        <f t="shared" si="4"/>
        <v>0.34210526315789469</v>
      </c>
      <c r="C31" s="7">
        <f t="shared" si="5"/>
        <v>0.32090643274853797</v>
      </c>
      <c r="D31" s="7">
        <f t="shared" si="6"/>
        <v>2.7777777777777748E-2</v>
      </c>
      <c r="E31" s="7">
        <f t="shared" si="1"/>
        <v>2.7777777777777776E-2</v>
      </c>
      <c r="F31" s="7">
        <f t="shared" si="2"/>
        <v>8.3333333333333356E-2</v>
      </c>
      <c r="G31" s="7">
        <f t="shared" si="3"/>
        <v>6.9444444444444448E-2</v>
      </c>
    </row>
    <row r="40" spans="1:7" x14ac:dyDescent="0.3">
      <c r="B40" s="5" t="s">
        <v>17</v>
      </c>
      <c r="C40" s="2" t="s">
        <v>12</v>
      </c>
      <c r="D40" s="4" t="s">
        <v>16</v>
      </c>
      <c r="E40" s="5" t="s">
        <v>13</v>
      </c>
      <c r="F40" s="5" t="s">
        <v>18</v>
      </c>
      <c r="G40" s="5" t="s">
        <v>14</v>
      </c>
    </row>
    <row r="41" spans="1:7" x14ac:dyDescent="0.3">
      <c r="A41" s="1" t="s">
        <v>0</v>
      </c>
      <c r="B41" s="7">
        <v>2.568978241286745E-2</v>
      </c>
      <c r="C41" s="10">
        <v>2.3973474939935166E-2</v>
      </c>
      <c r="D41" s="7">
        <v>8.1901776706586202E-2</v>
      </c>
      <c r="E41" s="7">
        <v>8.1156698700196164E-2</v>
      </c>
      <c r="F41" s="7">
        <v>5.3836884366269849E-2</v>
      </c>
      <c r="G41" s="7">
        <v>5.3615352668530555E-2</v>
      </c>
    </row>
    <row r="42" spans="1:7" x14ac:dyDescent="0.3">
      <c r="A42" s="1" t="s">
        <v>1</v>
      </c>
      <c r="B42" s="7">
        <v>0.48811831533428096</v>
      </c>
      <c r="C42" s="7">
        <v>0.44339031517741084</v>
      </c>
      <c r="D42" s="7">
        <v>9.1894091364761094E-2</v>
      </c>
      <c r="E42" s="7">
        <v>9.3543771389285116E-2</v>
      </c>
      <c r="F42" s="7">
        <v>0.16153818964219774</v>
      </c>
      <c r="G42" s="7">
        <v>0.15390322211622134</v>
      </c>
    </row>
    <row r="43" spans="1:7" x14ac:dyDescent="0.3">
      <c r="A43" s="1" t="s">
        <v>2</v>
      </c>
      <c r="B43" s="7">
        <v>0.7228983707588863</v>
      </c>
      <c r="C43" s="10">
        <v>0.75564998966951435</v>
      </c>
      <c r="D43" s="7">
        <v>0.39412764522192539</v>
      </c>
      <c r="E43" s="7">
        <v>0.40141134214775975</v>
      </c>
      <c r="F43" s="7">
        <v>0.36700824693601924</v>
      </c>
      <c r="G43" s="7">
        <v>0.35647348294634817</v>
      </c>
    </row>
    <row r="44" spans="1:7" x14ac:dyDescent="0.3">
      <c r="A44" s="1" t="s">
        <v>3</v>
      </c>
      <c r="B44" s="7">
        <v>0.68181940307417988</v>
      </c>
      <c r="C44" s="7">
        <v>3.1743147173126198</v>
      </c>
      <c r="E44" s="7">
        <v>9.2461920066638967</v>
      </c>
      <c r="F44" s="7">
        <v>4.065301287040759</v>
      </c>
      <c r="G44" s="7">
        <v>5.9002007135031942</v>
      </c>
    </row>
    <row r="45" spans="1:7" x14ac:dyDescent="0.3">
      <c r="A45" s="1" t="s">
        <v>4</v>
      </c>
      <c r="B45" s="7">
        <v>0.91780797391908497</v>
      </c>
      <c r="C45" s="10">
        <v>0.99043489803108453</v>
      </c>
      <c r="D45" s="7">
        <v>0.38021230826786379</v>
      </c>
      <c r="E45" s="10">
        <v>0.96782829544157467</v>
      </c>
      <c r="F45" s="7">
        <v>0.78200483672705889</v>
      </c>
      <c r="G45" s="10">
        <v>0.99006744631645094</v>
      </c>
    </row>
    <row r="46" spans="1:7" x14ac:dyDescent="0.3">
      <c r="A46" s="1" t="s">
        <v>5</v>
      </c>
      <c r="B46" s="7">
        <v>0.87555803571428581</v>
      </c>
      <c r="C46" s="10">
        <v>0.98925382653061233</v>
      </c>
      <c r="D46" s="7">
        <v>0.36551339285714285</v>
      </c>
      <c r="E46" s="10">
        <v>0.96829825680272108</v>
      </c>
      <c r="F46" s="7">
        <v>0.76897321428571419</v>
      </c>
      <c r="G46" s="10">
        <v>0.98848852040816348</v>
      </c>
    </row>
    <row r="47" spans="1:7" x14ac:dyDescent="0.3">
      <c r="A47" s="1" t="s">
        <v>6</v>
      </c>
      <c r="B47" s="7">
        <v>0.91661228689006469</v>
      </c>
      <c r="C47" s="10">
        <v>0.9805024314149956</v>
      </c>
      <c r="D47" s="7">
        <v>0.55997942386831268</v>
      </c>
      <c r="E47" s="10">
        <v>0.63509670217670899</v>
      </c>
      <c r="F47" s="7">
        <v>0.81888982416760148</v>
      </c>
      <c r="G47" s="10">
        <v>0.87737125418934903</v>
      </c>
    </row>
    <row r="48" spans="1:7" x14ac:dyDescent="0.3">
      <c r="A48" s="1" t="s">
        <v>7</v>
      </c>
      <c r="B48" s="7">
        <v>0.92633928571428581</v>
      </c>
      <c r="C48" s="10">
        <v>0.98340242346938778</v>
      </c>
      <c r="D48" s="7">
        <v>0.546875</v>
      </c>
      <c r="E48" s="10">
        <v>0.63314732142857144</v>
      </c>
      <c r="F48" s="7">
        <v>0.8973214285714286</v>
      </c>
      <c r="G48" s="7">
        <v>0.87692389455782316</v>
      </c>
    </row>
    <row r="49" spans="1:7" x14ac:dyDescent="0.3">
      <c r="A49" s="1" t="s">
        <v>8</v>
      </c>
      <c r="B49" s="7">
        <v>0.96671247959357642</v>
      </c>
      <c r="C49" s="10">
        <v>0.9281055900621118</v>
      </c>
      <c r="D49" s="7">
        <v>0.99351915974145899</v>
      </c>
      <c r="E49" s="7">
        <v>0.99583333333333335</v>
      </c>
      <c r="F49" s="7">
        <v>0.9884615384615385</v>
      </c>
      <c r="G49" s="7">
        <v>0.98285714285714287</v>
      </c>
    </row>
    <row r="50" spans="1:7" x14ac:dyDescent="0.3">
      <c r="A50" s="1" t="s">
        <v>9</v>
      </c>
      <c r="B50" s="7">
        <v>0.92400510412175296</v>
      </c>
      <c r="C50" s="10">
        <v>0.72125729343120648</v>
      </c>
      <c r="D50" s="7">
        <v>0.96141159452274394</v>
      </c>
      <c r="E50" s="10">
        <v>0.74242659514398646</v>
      </c>
      <c r="F50" s="7">
        <v>1</v>
      </c>
      <c r="G50" s="10">
        <v>0.89354166666666668</v>
      </c>
    </row>
    <row r="51" spans="1:7" x14ac:dyDescent="0.3">
      <c r="A51" s="1" t="s">
        <v>10</v>
      </c>
      <c r="B51" s="7">
        <v>1.5909090894628095</v>
      </c>
      <c r="C51" s="10">
        <v>1.4661490670729813</v>
      </c>
      <c r="D51" s="7">
        <v>1.769841267797934</v>
      </c>
      <c r="E51" s="7">
        <v>2.1649275334541063</v>
      </c>
      <c r="F51" s="7">
        <v>18.499999815000002</v>
      </c>
      <c r="G51" s="10">
        <v>10.499999900000001</v>
      </c>
    </row>
    <row r="52" spans="1:7" x14ac:dyDescent="0.3">
      <c r="A52" s="1" t="s">
        <v>11</v>
      </c>
      <c r="B52" s="7">
        <v>0.34210526315789469</v>
      </c>
      <c r="C52" s="7">
        <v>0.32090643274853797</v>
      </c>
      <c r="D52" s="7">
        <v>2.7777777777777748E-2</v>
      </c>
      <c r="E52" s="7">
        <v>2.7777777777777776E-2</v>
      </c>
      <c r="F52" s="7">
        <v>8.3333333333333356E-2</v>
      </c>
      <c r="G52" s="7">
        <v>6.9444444444444448E-2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2026-01-10T10:50:46Z</dcterms:modified>
</cp:coreProperties>
</file>