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76" i="1" l="1"/>
  <c r="G70" i="1"/>
  <c r="G72" i="1"/>
  <c r="G73" i="1"/>
  <c r="G74" i="1"/>
  <c r="G75" i="1"/>
  <c r="G77" i="1"/>
  <c r="G78" i="1"/>
  <c r="G79" i="1"/>
  <c r="G69" i="1"/>
  <c r="G68" i="1"/>
  <c r="F70" i="1"/>
  <c r="F72" i="1"/>
  <c r="F73" i="1"/>
  <c r="F74" i="1"/>
  <c r="F75" i="1"/>
  <c r="F76" i="1"/>
  <c r="F77" i="1"/>
  <c r="F78" i="1"/>
  <c r="F79" i="1"/>
  <c r="F69" i="1"/>
  <c r="F68" i="1"/>
  <c r="E70" i="1"/>
  <c r="E72" i="1"/>
  <c r="E73" i="1"/>
  <c r="E74" i="1"/>
  <c r="E75" i="1"/>
  <c r="E76" i="1"/>
  <c r="E77" i="1"/>
  <c r="E78" i="1"/>
  <c r="E79" i="1"/>
  <c r="E69" i="1"/>
  <c r="E68" i="1"/>
  <c r="D70" i="1"/>
  <c r="D72" i="1"/>
  <c r="D73" i="1"/>
  <c r="D74" i="1"/>
  <c r="D75" i="1"/>
  <c r="D76" i="1"/>
  <c r="D77" i="1"/>
  <c r="D78" i="1"/>
  <c r="D79" i="1"/>
  <c r="D69" i="1"/>
  <c r="D68" i="1"/>
  <c r="C70" i="1"/>
  <c r="C72" i="1"/>
  <c r="C73" i="1"/>
  <c r="C74" i="1"/>
  <c r="C75" i="1"/>
  <c r="C76" i="1"/>
  <c r="C77" i="1"/>
  <c r="C78" i="1"/>
  <c r="C79" i="1"/>
  <c r="C69" i="1"/>
  <c r="C68" i="1"/>
  <c r="B70" i="1"/>
  <c r="B72" i="1"/>
  <c r="B73" i="1"/>
  <c r="B74" i="1"/>
  <c r="B75" i="1"/>
  <c r="B76" i="1"/>
  <c r="B77" i="1"/>
  <c r="B78" i="1"/>
  <c r="B79" i="1"/>
  <c r="B69" i="1"/>
  <c r="B68" i="1"/>
  <c r="E29" i="1" l="1"/>
  <c r="E28" i="1"/>
  <c r="E27" i="1"/>
  <c r="E26" i="1"/>
  <c r="E25" i="1"/>
  <c r="E24" i="1"/>
  <c r="E23" i="1"/>
  <c r="E22" i="1"/>
  <c r="E21" i="1"/>
  <c r="E20" i="1"/>
  <c r="E19" i="1"/>
  <c r="E18" i="1"/>
  <c r="B29" i="1"/>
  <c r="B28" i="1"/>
  <c r="B27" i="1"/>
  <c r="B26" i="1"/>
  <c r="B25" i="1"/>
  <c r="F29" i="1"/>
  <c r="F28" i="1"/>
  <c r="F27" i="1"/>
  <c r="F26" i="1"/>
  <c r="F25" i="1"/>
  <c r="F24" i="1"/>
  <c r="F23" i="1"/>
  <c r="F22" i="1"/>
  <c r="F21" i="1"/>
  <c r="F20" i="1"/>
  <c r="F19" i="1"/>
  <c r="B24" i="1"/>
  <c r="B23" i="1"/>
  <c r="B22" i="1"/>
  <c r="B21" i="1"/>
  <c r="B20" i="1"/>
  <c r="F18" i="1"/>
  <c r="C18" i="1"/>
  <c r="D29" i="1"/>
  <c r="C29" i="1"/>
  <c r="D28" i="1"/>
  <c r="C28" i="1"/>
  <c r="D27" i="1"/>
  <c r="C27" i="1"/>
  <c r="D26" i="1"/>
  <c r="C26" i="1"/>
  <c r="D25" i="1"/>
  <c r="C25" i="1"/>
  <c r="D24" i="1"/>
  <c r="C24" i="1"/>
  <c r="D23" i="1"/>
  <c r="C23" i="1"/>
  <c r="D22" i="1"/>
  <c r="C22" i="1"/>
  <c r="D21" i="1"/>
  <c r="C21" i="1"/>
  <c r="D20" i="1"/>
  <c r="C20" i="1"/>
  <c r="D19" i="1"/>
  <c r="C19" i="1"/>
  <c r="D18" i="1"/>
  <c r="B19" i="1"/>
  <c r="B18" i="1"/>
</calcChain>
</file>

<file path=xl/sharedStrings.xml><?xml version="1.0" encoding="utf-8"?>
<sst xmlns="http://schemas.openxmlformats.org/spreadsheetml/2006/main" count="114" uniqueCount="37">
  <si>
    <t>Jensen–Shannon div.</t>
  </si>
  <si>
    <t>Inv. Kullback-Leibler div.</t>
  </si>
  <si>
    <t>Kolmogorov-Smirnov test</t>
  </si>
  <si>
    <t>Linear syn id</t>
  </si>
  <si>
    <t>Linear syn ood</t>
  </si>
  <si>
    <t>Xgb syn id</t>
  </si>
  <si>
    <t>Xgb syn ood</t>
  </si>
  <si>
    <t>Detection xgb</t>
  </si>
  <si>
    <t>Detection linear</t>
  </si>
  <si>
    <t>Delta-presence</t>
  </si>
  <si>
    <t>Identifiability</t>
  </si>
  <si>
    <t>Metric</t>
  </si>
  <si>
    <t>before</t>
  </si>
  <si>
    <t>js_after</t>
  </si>
  <si>
    <t>was_after</t>
  </si>
  <si>
    <t>ks_after</t>
  </si>
  <si>
    <t>Wasserstein dist.</t>
  </si>
  <si>
    <t>mi_after</t>
  </si>
  <si>
    <t>new_ext</t>
  </si>
  <si>
    <t>old_ext</t>
  </si>
  <si>
    <t>DDPM</t>
  </si>
  <si>
    <t>stats.jensenshannon_dist.marginal</t>
  </si>
  <si>
    <t>stats.inv_kl_divergence.marginal</t>
  </si>
  <si>
    <t>stats.ks_test.marginal</t>
  </si>
  <si>
    <t>stats.wasserstein_dist.joint</t>
  </si>
  <si>
    <t>performance.linear_model.syn_id</t>
  </si>
  <si>
    <t>performance.linear_model.syn_ood</t>
  </si>
  <si>
    <t>performance.xgb.syn_id</t>
  </si>
  <si>
    <t>performance.xgb.syn_ood</t>
  </si>
  <si>
    <t>detection.detection_xgb.mean</t>
  </si>
  <si>
    <t>detection.detection_linear.mean</t>
  </si>
  <si>
    <t>privacy.delta-presence.score</t>
  </si>
  <si>
    <t>privacy.identifiability_score.</t>
  </si>
  <si>
    <t>DDPM_wine</t>
  </si>
  <si>
    <t>DDPM_breast_cancer</t>
  </si>
  <si>
    <t>CTGAN_wine</t>
  </si>
  <si>
    <t>CTGAN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</si>
</sst>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name val="Calibri"/>
      <family val="2"/>
      <charset val="204"/>
    </font>
    <font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3" fillId="0" borderId="0" xfId="0" applyFont="1" applyAlignment="1">
      <alignment horizontal="center"/>
    </xf>
    <xf numFmtId="0" fontId="4" fillId="0" borderId="1" xfId="0" applyFont="1" applyBorder="1" applyAlignment="1">
      <alignment horizontal="center" vertical="top"/>
    </xf>
    <xf numFmtId="0" fontId="3" fillId="0" borderId="0" xfId="0" applyFont="1" applyFill="1" applyBorder="1" applyAlignment="1">
      <alignment horizontal="center"/>
    </xf>
    <xf numFmtId="2" fontId="0" fillId="0" borderId="0" xfId="0" applyNumberFormat="1" applyAlignment="1">
      <alignment horizontal="center"/>
    </xf>
    <xf numFmtId="2" fontId="3" fillId="0" borderId="0" xfId="0" applyNumberFormat="1" applyFont="1" applyAlignment="1">
      <alignment horizontal="center"/>
    </xf>
    <xf numFmtId="2" fontId="0" fillId="0" borderId="0" xfId="0" applyNumberFormat="1"/>
    <xf numFmtId="2" fontId="3" fillId="0" borderId="0" xfId="0" applyNumberFormat="1" applyFont="1"/>
    <xf numFmtId="2" fontId="2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5" fillId="0" borderId="1" xfId="0" applyFont="1" applyBorder="1" applyAlignment="1">
      <alignment horizontal="left" vertical="top"/>
    </xf>
    <xf numFmtId="0" fontId="1" fillId="0" borderId="0" xfId="0" applyFont="1" applyAlignment="1">
      <alignment horizontal="center"/>
    </xf>
    <xf numFmtId="2" fontId="0" fillId="0" borderId="0" xfId="0" applyNumberFormat="1" applyFill="1" applyBorder="1" applyAlignment="1">
      <alignment horizontal="center"/>
    </xf>
    <xf numFmtId="2" fontId="3" fillId="0" borderId="0" xfId="0" applyNumberFormat="1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3" fillId="0" borderId="1" xfId="0" applyFont="1" applyBorder="1" applyAlignment="1">
      <alignment horizontal="center"/>
    </xf>
    <xf numFmtId="2" fontId="1" fillId="0" borderId="0" xfId="0" applyNumberFormat="1" applyFont="1" applyFill="1" applyBorder="1" applyAlignment="1">
      <alignment horizontal="center"/>
    </xf>
    <xf numFmtId="0" fontId="0" fillId="0" borderId="5" xfId="0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9"/>
  <sheetViews>
    <sheetView tabSelected="1" topLeftCell="A63" zoomScale="115" zoomScaleNormal="115" workbookViewId="0">
      <selection activeCell="J76" sqref="J76"/>
    </sheetView>
  </sheetViews>
  <sheetFormatPr defaultRowHeight="14.4" x14ac:dyDescent="0.3"/>
  <cols>
    <col min="1" max="1" width="26.6640625" customWidth="1"/>
    <col min="2" max="2" width="12.6640625" customWidth="1"/>
    <col min="3" max="3" width="10.44140625" customWidth="1"/>
    <col min="4" max="4" width="13.44140625" customWidth="1"/>
    <col min="5" max="5" width="11.109375" customWidth="1"/>
    <col min="6" max="6" width="13.5546875" customWidth="1"/>
    <col min="7" max="7" width="11.6640625" customWidth="1"/>
    <col min="8" max="8" width="11.77734375" customWidth="1"/>
    <col min="9" max="9" width="21.77734375" customWidth="1"/>
  </cols>
  <sheetData>
    <row r="1" spans="1:14" x14ac:dyDescent="0.3">
      <c r="A1" s="2" t="s">
        <v>11</v>
      </c>
      <c r="B1" s="1" t="s">
        <v>12</v>
      </c>
      <c r="C1" s="1" t="s">
        <v>13</v>
      </c>
      <c r="D1" s="1" t="s">
        <v>15</v>
      </c>
      <c r="E1" s="3" t="s">
        <v>14</v>
      </c>
      <c r="F1" s="3" t="s">
        <v>17</v>
      </c>
      <c r="G1" s="3"/>
      <c r="H1" s="3"/>
      <c r="I1" s="2" t="s">
        <v>11</v>
      </c>
      <c r="J1" s="2" t="s">
        <v>12</v>
      </c>
      <c r="K1" s="1" t="s">
        <v>13</v>
      </c>
      <c r="L1" s="1" t="s">
        <v>15</v>
      </c>
      <c r="M1" s="1" t="s">
        <v>14</v>
      </c>
      <c r="N1" s="3" t="s">
        <v>17</v>
      </c>
    </row>
    <row r="2" spans="1:14" x14ac:dyDescent="0.3">
      <c r="A2" t="s">
        <v>0</v>
      </c>
      <c r="B2" s="4">
        <v>8.0311388388553798E-2</v>
      </c>
      <c r="C2" s="5">
        <v>6.1941608347103737E-2</v>
      </c>
      <c r="D2" s="5">
        <v>6.2598988801504191E-2</v>
      </c>
      <c r="E2" s="6">
        <v>6.5173978685521286E-2</v>
      </c>
      <c r="F2" s="6">
        <v>7.5216123685409975E-2</v>
      </c>
      <c r="G2" s="4"/>
      <c r="H2" s="4"/>
      <c r="I2" t="s">
        <v>0</v>
      </c>
      <c r="J2" s="4">
        <v>2.84069761475686E-2</v>
      </c>
      <c r="K2" s="4">
        <v>2.6031453951286861E-2</v>
      </c>
      <c r="L2" s="4">
        <v>2.4657454436017658E-2</v>
      </c>
      <c r="M2" s="4">
        <v>3.0946323671419109E-2</v>
      </c>
      <c r="N2" s="4">
        <v>2.9120558487693751E-2</v>
      </c>
    </row>
    <row r="3" spans="1:14" x14ac:dyDescent="0.3">
      <c r="A3" t="s">
        <v>1</v>
      </c>
      <c r="B3" s="5">
        <v>0.10998213611938901</v>
      </c>
      <c r="C3" s="5">
        <v>0.11114384427871569</v>
      </c>
      <c r="D3" s="4">
        <v>0.1031810683227411</v>
      </c>
      <c r="E3" s="6">
        <v>9.1463007940342456E-2</v>
      </c>
      <c r="F3" s="7">
        <v>0.1145331972712037</v>
      </c>
      <c r="G3" s="4"/>
      <c r="H3" s="4"/>
      <c r="I3" t="s">
        <v>1</v>
      </c>
      <c r="J3" s="4">
        <v>0.36290164115936902</v>
      </c>
      <c r="K3" s="8">
        <v>0.46303134016509201</v>
      </c>
      <c r="L3" s="4">
        <v>0.55957579749179598</v>
      </c>
      <c r="M3" s="4">
        <v>0.53411818671570066</v>
      </c>
      <c r="N3" s="4">
        <v>0.53674625057083103</v>
      </c>
    </row>
    <row r="4" spans="1:14" x14ac:dyDescent="0.3">
      <c r="A4" t="s">
        <v>16</v>
      </c>
      <c r="B4" s="4">
        <v>2.25413253756285</v>
      </c>
      <c r="C4" s="5">
        <v>1.0558750520350839</v>
      </c>
      <c r="D4" s="4">
        <v>0.84826038648561308</v>
      </c>
      <c r="E4" s="7">
        <v>0.72025207650561729</v>
      </c>
      <c r="F4" s="6">
        <v>3.4555234364215881</v>
      </c>
      <c r="G4" s="4"/>
      <c r="H4" s="4"/>
      <c r="I4" t="s">
        <v>16</v>
      </c>
      <c r="J4" s="4">
        <v>0.39450300367922397</v>
      </c>
      <c r="K4" s="4">
        <v>0.55075572759088787</v>
      </c>
      <c r="L4" s="4">
        <v>0.50552190702940769</v>
      </c>
      <c r="M4" s="4">
        <v>0.61366485525780934</v>
      </c>
      <c r="N4" s="4">
        <v>0.64845292238235075</v>
      </c>
    </row>
    <row r="5" spans="1:14" x14ac:dyDescent="0.3">
      <c r="A5" t="s">
        <v>2</v>
      </c>
      <c r="B5" s="4">
        <v>0.45944940476190399</v>
      </c>
      <c r="C5" s="5">
        <v>0.59603174603174602</v>
      </c>
      <c r="D5" s="5">
        <v>0.61683277962347727</v>
      </c>
      <c r="E5" s="6">
        <v>0.58344671201814058</v>
      </c>
      <c r="F5" s="6">
        <v>0.51068868407578083</v>
      </c>
      <c r="G5" s="5"/>
      <c r="H5" s="4"/>
      <c r="I5" t="s">
        <v>2</v>
      </c>
      <c r="J5" s="4">
        <v>0.68886408730158699</v>
      </c>
      <c r="K5" s="8">
        <v>0.74007936507936523</v>
      </c>
      <c r="L5" s="4">
        <v>0.75771294433266267</v>
      </c>
      <c r="M5" s="4">
        <v>0.66856452726017945</v>
      </c>
      <c r="N5" s="4">
        <v>0.69394841269841268</v>
      </c>
    </row>
    <row r="6" spans="1:14" x14ac:dyDescent="0.3">
      <c r="A6" t="s">
        <v>3</v>
      </c>
      <c r="B6" s="4">
        <v>0.71384773662551437</v>
      </c>
      <c r="C6" s="5">
        <v>0.78696234439078849</v>
      </c>
      <c r="D6" s="4">
        <v>0.72221935742192245</v>
      </c>
      <c r="E6" s="6">
        <v>0.72222148074449755</v>
      </c>
      <c r="F6" s="7">
        <v>0.8249191620762456</v>
      </c>
      <c r="G6" s="5"/>
      <c r="H6" s="4"/>
      <c r="I6" t="s">
        <v>3</v>
      </c>
      <c r="J6" s="4">
        <v>0.89806584362139918</v>
      </c>
      <c r="K6" s="8">
        <v>0.93463442451891576</v>
      </c>
      <c r="L6" s="4">
        <v>0.96264423426921319</v>
      </c>
      <c r="M6" s="4">
        <v>0.8932466208837877</v>
      </c>
      <c r="N6" s="4">
        <v>0.94961219029823574</v>
      </c>
    </row>
    <row r="7" spans="1:14" x14ac:dyDescent="0.3">
      <c r="A7" t="s">
        <v>4</v>
      </c>
      <c r="B7" s="4">
        <v>0.6953125</v>
      </c>
      <c r="C7" s="5">
        <v>0.77270408163265303</v>
      </c>
      <c r="D7" s="4">
        <v>0.71530612244897951</v>
      </c>
      <c r="E7" s="6">
        <v>0.71517857142857133</v>
      </c>
      <c r="F7" s="7">
        <v>0.82445790816326525</v>
      </c>
      <c r="G7" s="5"/>
      <c r="H7" s="4"/>
      <c r="I7" t="s">
        <v>4</v>
      </c>
      <c r="J7" s="4">
        <v>0.9296875</v>
      </c>
      <c r="K7" s="8">
        <v>0.93721301020408154</v>
      </c>
      <c r="L7" s="4">
        <v>0.95714285714285707</v>
      </c>
      <c r="M7" s="4">
        <v>0.90022321428571428</v>
      </c>
      <c r="N7" s="4">
        <v>0.93877551020408168</v>
      </c>
    </row>
    <row r="8" spans="1:14" x14ac:dyDescent="0.3">
      <c r="A8" t="s">
        <v>5</v>
      </c>
      <c r="B8" s="4">
        <v>0.61995884773662546</v>
      </c>
      <c r="C8" s="5">
        <v>0.70421267198912862</v>
      </c>
      <c r="D8" s="4">
        <v>0.7064891771215025</v>
      </c>
      <c r="E8" s="6">
        <v>0.69142708510276873</v>
      </c>
      <c r="F8" s="7">
        <v>0.7135372430779684</v>
      </c>
      <c r="G8" s="5"/>
      <c r="H8" s="4"/>
      <c r="I8" t="s">
        <v>5</v>
      </c>
      <c r="J8" s="4">
        <v>0.89936213991769554</v>
      </c>
      <c r="K8" s="4">
        <v>0.85876401392899615</v>
      </c>
      <c r="L8" s="4">
        <v>0.91104779902448496</v>
      </c>
      <c r="M8" s="4">
        <v>0.89427127569220333</v>
      </c>
      <c r="N8" s="4">
        <v>0.92718869057730102</v>
      </c>
    </row>
    <row r="9" spans="1:14" x14ac:dyDescent="0.3">
      <c r="A9" t="s">
        <v>6</v>
      </c>
      <c r="B9" s="4">
        <v>0.59375</v>
      </c>
      <c r="C9" s="5">
        <v>0.69968112244897962</v>
      </c>
      <c r="D9" s="4">
        <v>0.70640943877551021</v>
      </c>
      <c r="E9" s="6">
        <v>0.69151785714285707</v>
      </c>
      <c r="F9" s="7">
        <v>0.70548469387755097</v>
      </c>
      <c r="G9" s="4"/>
      <c r="H9" s="4"/>
      <c r="I9" t="s">
        <v>6</v>
      </c>
      <c r="J9" s="4">
        <v>0.90625</v>
      </c>
      <c r="K9" s="4">
        <v>0.8577168367346939</v>
      </c>
      <c r="L9" s="4">
        <v>0.91377551020408165</v>
      </c>
      <c r="M9" s="4">
        <v>0.88903061224489799</v>
      </c>
      <c r="N9" s="4">
        <v>0.92206632653061216</v>
      </c>
    </row>
    <row r="10" spans="1:14" x14ac:dyDescent="0.3">
      <c r="A10" t="s">
        <v>7</v>
      </c>
      <c r="B10" s="4">
        <v>0.98750000000000004</v>
      </c>
      <c r="C10" s="4">
        <v>1</v>
      </c>
      <c r="D10" s="4">
        <v>0.99450549450549453</v>
      </c>
      <c r="E10" s="6">
        <v>0.99920634920634921</v>
      </c>
      <c r="F10" s="6">
        <v>0.99591836734693884</v>
      </c>
      <c r="G10" s="4"/>
      <c r="H10" s="4"/>
      <c r="I10" t="s">
        <v>7</v>
      </c>
      <c r="J10" s="4">
        <v>0.94539835164835095</v>
      </c>
      <c r="K10" s="8">
        <v>0.7260204081632653</v>
      </c>
      <c r="L10" s="4">
        <v>0.77892857142857141</v>
      </c>
      <c r="M10" s="4">
        <v>0.94610917537746797</v>
      </c>
      <c r="N10" s="4">
        <v>0.90822981366459621</v>
      </c>
    </row>
    <row r="11" spans="1:14" x14ac:dyDescent="0.3">
      <c r="A11" t="s">
        <v>8</v>
      </c>
      <c r="B11" s="4">
        <v>0.92305402930402902</v>
      </c>
      <c r="C11" s="5">
        <v>0.50424107142857144</v>
      </c>
      <c r="D11" s="4">
        <v>0.58901098901098903</v>
      </c>
      <c r="E11" s="6">
        <v>0.79319727891156455</v>
      </c>
      <c r="F11" s="6">
        <v>0.69404761904761902</v>
      </c>
      <c r="G11" s="4"/>
      <c r="H11" s="4"/>
      <c r="I11" t="s">
        <v>8</v>
      </c>
      <c r="J11" s="4">
        <v>0.89010989010988995</v>
      </c>
      <c r="K11" s="8">
        <v>0.72653061224489801</v>
      </c>
      <c r="L11" s="4">
        <v>0.70457482993197285</v>
      </c>
      <c r="M11" s="4">
        <v>0.86456777833084453</v>
      </c>
      <c r="N11" s="4">
        <v>0.78115471485036703</v>
      </c>
    </row>
    <row r="12" spans="1:14" x14ac:dyDescent="0.3">
      <c r="A12" t="s">
        <v>9</v>
      </c>
      <c r="B12" s="4">
        <v>1.1111111104938269</v>
      </c>
      <c r="C12" s="4">
        <v>1.17647058754325</v>
      </c>
      <c r="D12" s="4">
        <v>1.42857142755102</v>
      </c>
      <c r="E12" s="6">
        <v>1.42857142755102</v>
      </c>
      <c r="F12" s="6">
        <v>1.3333333324444441</v>
      </c>
      <c r="G12" s="4"/>
      <c r="H12" s="4"/>
      <c r="I12" t="s">
        <v>9</v>
      </c>
      <c r="J12" s="4">
        <v>1.4545454532231401</v>
      </c>
      <c r="K12" s="8">
        <v>1.052631578393352</v>
      </c>
      <c r="L12" s="4">
        <v>1.2307692298224799</v>
      </c>
      <c r="M12" s="4">
        <v>1.2307692298224799</v>
      </c>
      <c r="N12" s="4">
        <v>1.5384615372781001</v>
      </c>
    </row>
    <row r="13" spans="1:14" x14ac:dyDescent="0.3">
      <c r="A13" t="s">
        <v>10</v>
      </c>
      <c r="B13" s="5">
        <v>5.5555555555555497E-2</v>
      </c>
      <c r="C13" s="4">
        <v>0.1111111111111111</v>
      </c>
      <c r="D13" s="4">
        <v>0.1111111111111111</v>
      </c>
      <c r="E13" s="6">
        <v>0.1111111111111111</v>
      </c>
      <c r="F13" s="7">
        <v>5.5555555555555552E-2</v>
      </c>
      <c r="G13" s="4"/>
      <c r="H13" s="4"/>
      <c r="I13" t="s">
        <v>10</v>
      </c>
      <c r="J13" s="4">
        <v>0.5</v>
      </c>
      <c r="K13" s="4">
        <v>0.58333333333333337</v>
      </c>
      <c r="L13" s="4">
        <v>0.52777777777777701</v>
      </c>
      <c r="M13" s="4">
        <v>0.36111111111111099</v>
      </c>
      <c r="N13" s="4">
        <v>0.41666666666666602</v>
      </c>
    </row>
    <row r="17" spans="1:7" x14ac:dyDescent="0.3">
      <c r="A17" s="2" t="s">
        <v>11</v>
      </c>
      <c r="B17" s="2" t="s">
        <v>12</v>
      </c>
      <c r="C17" s="1" t="s">
        <v>13</v>
      </c>
      <c r="D17" s="1" t="s">
        <v>15</v>
      </c>
      <c r="E17" s="1" t="s">
        <v>14</v>
      </c>
      <c r="F17" s="3" t="s">
        <v>17</v>
      </c>
    </row>
    <row r="18" spans="1:7" x14ac:dyDescent="0.3">
      <c r="A18" t="s">
        <v>0</v>
      </c>
      <c r="B18" s="4">
        <f t="shared" ref="B18:B29" si="0">AVERAGE(B2,J2)</f>
        <v>5.4359182268061197E-2</v>
      </c>
      <c r="C18" s="5">
        <f t="shared" ref="C18:C29" si="1">AVERAGE(C2,K2)</f>
        <v>4.3986531149195297E-2</v>
      </c>
      <c r="D18" s="4">
        <f t="shared" ref="D18:D29" si="2">AVERAGE(D2,L2)</f>
        <v>4.3628221618760926E-2</v>
      </c>
      <c r="E18" s="4">
        <f t="shared" ref="E18:E29" si="3">AVERAGE(E2,M2)</f>
        <v>4.8060151178470199E-2</v>
      </c>
      <c r="F18" s="4">
        <f t="shared" ref="F18:F29" si="4">AVERAGE(F2,N2)</f>
        <v>5.2168341086551863E-2</v>
      </c>
    </row>
    <row r="19" spans="1:7" x14ac:dyDescent="0.3">
      <c r="A19" t="s">
        <v>1</v>
      </c>
      <c r="B19" s="4">
        <f t="shared" si="0"/>
        <v>0.23644188863937901</v>
      </c>
      <c r="C19" s="5">
        <f t="shared" si="1"/>
        <v>0.28708759222190383</v>
      </c>
      <c r="D19" s="4">
        <f t="shared" si="2"/>
        <v>0.33137843290726854</v>
      </c>
      <c r="E19" s="4">
        <f t="shared" si="3"/>
        <v>0.31279059732802156</v>
      </c>
      <c r="F19" s="4">
        <f t="shared" si="4"/>
        <v>0.32563972392101737</v>
      </c>
    </row>
    <row r="20" spans="1:7" x14ac:dyDescent="0.3">
      <c r="A20" t="s">
        <v>16</v>
      </c>
      <c r="B20" s="4">
        <f t="shared" si="0"/>
        <v>1.3243177706210369</v>
      </c>
      <c r="C20" s="5">
        <f t="shared" si="1"/>
        <v>0.80331538981298589</v>
      </c>
      <c r="D20" s="4">
        <f t="shared" si="2"/>
        <v>0.67689114675751039</v>
      </c>
      <c r="E20" s="4">
        <f t="shared" si="3"/>
        <v>0.66695846588171337</v>
      </c>
      <c r="F20" s="4">
        <f t="shared" si="4"/>
        <v>2.0519881794019694</v>
      </c>
    </row>
    <row r="21" spans="1:7" x14ac:dyDescent="0.3">
      <c r="A21" t="s">
        <v>2</v>
      </c>
      <c r="B21" s="4">
        <f t="shared" si="0"/>
        <v>0.57415674603174549</v>
      </c>
      <c r="C21" s="5">
        <f t="shared" si="1"/>
        <v>0.66805555555555562</v>
      </c>
      <c r="D21" s="4">
        <f t="shared" si="2"/>
        <v>0.68727286197806992</v>
      </c>
      <c r="E21" s="4">
        <f t="shared" si="3"/>
        <v>0.62600561963916002</v>
      </c>
      <c r="F21" s="4">
        <f t="shared" si="4"/>
        <v>0.60231854838709675</v>
      </c>
    </row>
    <row r="22" spans="1:7" x14ac:dyDescent="0.3">
      <c r="A22" t="s">
        <v>3</v>
      </c>
      <c r="B22" s="4">
        <f t="shared" si="0"/>
        <v>0.80595679012345678</v>
      </c>
      <c r="C22" s="4">
        <f t="shared" si="1"/>
        <v>0.86079838445485213</v>
      </c>
      <c r="D22" s="4">
        <f t="shared" si="2"/>
        <v>0.84243179584556782</v>
      </c>
      <c r="E22" s="4">
        <f t="shared" si="3"/>
        <v>0.80773405081414262</v>
      </c>
      <c r="F22" s="4">
        <f t="shared" si="4"/>
        <v>0.88726567618724062</v>
      </c>
    </row>
    <row r="23" spans="1:7" x14ac:dyDescent="0.3">
      <c r="A23" t="s">
        <v>4</v>
      </c>
      <c r="B23" s="4">
        <f t="shared" si="0"/>
        <v>0.8125</v>
      </c>
      <c r="C23" s="4">
        <f t="shared" si="1"/>
        <v>0.85495854591836729</v>
      </c>
      <c r="D23" s="4">
        <f t="shared" si="2"/>
        <v>0.83622448979591835</v>
      </c>
      <c r="E23" s="4">
        <f t="shared" si="3"/>
        <v>0.80770089285714275</v>
      </c>
      <c r="F23" s="4">
        <f t="shared" si="4"/>
        <v>0.88161670918367352</v>
      </c>
    </row>
    <row r="24" spans="1:7" x14ac:dyDescent="0.3">
      <c r="A24" t="s">
        <v>5</v>
      </c>
      <c r="B24" s="4">
        <f t="shared" si="0"/>
        <v>0.7596604938271605</v>
      </c>
      <c r="C24" s="4">
        <f t="shared" si="1"/>
        <v>0.78148834295906244</v>
      </c>
      <c r="D24" s="4">
        <f t="shared" si="2"/>
        <v>0.80876848807299373</v>
      </c>
      <c r="E24" s="4">
        <f t="shared" si="3"/>
        <v>0.79284918039748598</v>
      </c>
      <c r="F24" s="4">
        <f t="shared" si="4"/>
        <v>0.82036296682763465</v>
      </c>
    </row>
    <row r="25" spans="1:7" x14ac:dyDescent="0.3">
      <c r="A25" t="s">
        <v>6</v>
      </c>
      <c r="B25" s="4">
        <f t="shared" si="0"/>
        <v>0.75</v>
      </c>
      <c r="C25" s="4">
        <f t="shared" si="1"/>
        <v>0.77869897959183676</v>
      </c>
      <c r="D25" s="4">
        <f t="shared" si="2"/>
        <v>0.81009247448979593</v>
      </c>
      <c r="E25" s="4">
        <f t="shared" si="3"/>
        <v>0.79027423469387759</v>
      </c>
      <c r="F25" s="4">
        <f t="shared" si="4"/>
        <v>0.81377551020408156</v>
      </c>
    </row>
    <row r="26" spans="1:7" x14ac:dyDescent="0.3">
      <c r="A26" t="s">
        <v>7</v>
      </c>
      <c r="B26" s="4">
        <f t="shared" si="0"/>
        <v>0.96644917582417555</v>
      </c>
      <c r="C26" s="4">
        <f t="shared" si="1"/>
        <v>0.86301020408163265</v>
      </c>
      <c r="D26" s="4">
        <f t="shared" si="2"/>
        <v>0.88671703296703297</v>
      </c>
      <c r="E26" s="4">
        <f t="shared" si="3"/>
        <v>0.97265776229190859</v>
      </c>
      <c r="F26" s="4">
        <f t="shared" si="4"/>
        <v>0.95207409050576752</v>
      </c>
    </row>
    <row r="27" spans="1:7" x14ac:dyDescent="0.3">
      <c r="A27" t="s">
        <v>8</v>
      </c>
      <c r="B27" s="4">
        <f t="shared" si="0"/>
        <v>0.90658195970695954</v>
      </c>
      <c r="C27" s="4">
        <f t="shared" si="1"/>
        <v>0.61538584183673473</v>
      </c>
      <c r="D27" s="4">
        <f t="shared" si="2"/>
        <v>0.64679290947148094</v>
      </c>
      <c r="E27" s="4">
        <f t="shared" si="3"/>
        <v>0.82888252862120448</v>
      </c>
      <c r="F27" s="4">
        <f t="shared" si="4"/>
        <v>0.73760116694899303</v>
      </c>
    </row>
    <row r="28" spans="1:7" x14ac:dyDescent="0.3">
      <c r="A28" t="s">
        <v>9</v>
      </c>
      <c r="B28" s="4">
        <f t="shared" si="0"/>
        <v>1.2828282818584835</v>
      </c>
      <c r="C28" s="4">
        <f t="shared" si="1"/>
        <v>1.114551082968301</v>
      </c>
      <c r="D28" s="4">
        <f t="shared" si="2"/>
        <v>1.3296703286867499</v>
      </c>
      <c r="E28" s="4">
        <f t="shared" si="3"/>
        <v>1.3296703286867499</v>
      </c>
      <c r="F28" s="4">
        <f t="shared" si="4"/>
        <v>1.4358974348612721</v>
      </c>
    </row>
    <row r="29" spans="1:7" x14ac:dyDescent="0.3">
      <c r="A29" t="s">
        <v>10</v>
      </c>
      <c r="B29" s="4">
        <f t="shared" si="0"/>
        <v>0.27777777777777773</v>
      </c>
      <c r="C29" s="4">
        <f t="shared" si="1"/>
        <v>0.34722222222222221</v>
      </c>
      <c r="D29" s="4">
        <f t="shared" si="2"/>
        <v>0.31944444444444409</v>
      </c>
      <c r="E29" s="4">
        <f t="shared" si="3"/>
        <v>0.23611111111111105</v>
      </c>
      <c r="F29" s="4">
        <f t="shared" si="4"/>
        <v>0.23611111111111077</v>
      </c>
    </row>
    <row r="32" spans="1:7" x14ac:dyDescent="0.3">
      <c r="B32" s="12" t="s">
        <v>33</v>
      </c>
      <c r="C32" s="11"/>
      <c r="D32" s="11"/>
      <c r="E32" s="12" t="s">
        <v>35</v>
      </c>
      <c r="F32" s="11"/>
      <c r="G32" s="11"/>
    </row>
    <row r="33" spans="1:7" x14ac:dyDescent="0.3">
      <c r="A33" s="2" t="s">
        <v>11</v>
      </c>
      <c r="B33" s="2" t="s">
        <v>12</v>
      </c>
      <c r="C33" s="1" t="s">
        <v>19</v>
      </c>
      <c r="D33" s="1" t="s">
        <v>18</v>
      </c>
      <c r="E33" s="1" t="s">
        <v>12</v>
      </c>
      <c r="F33" s="3" t="s">
        <v>19</v>
      </c>
      <c r="G33" s="3" t="s">
        <v>18</v>
      </c>
    </row>
    <row r="34" spans="1:7" x14ac:dyDescent="0.3">
      <c r="A34" t="s">
        <v>0</v>
      </c>
      <c r="B34" s="4">
        <v>8.0311388388553798E-2</v>
      </c>
      <c r="C34" s="10">
        <v>7.0000000000000007E-2</v>
      </c>
      <c r="D34" s="5">
        <v>6.1941608347103737E-2</v>
      </c>
      <c r="E34" s="4">
        <v>2.84069761475686E-2</v>
      </c>
      <c r="F34" s="10">
        <v>0.03</v>
      </c>
      <c r="G34" s="5">
        <v>2.4657454436017658E-2</v>
      </c>
    </row>
    <row r="35" spans="1:7" x14ac:dyDescent="0.3">
      <c r="A35" t="s">
        <v>1</v>
      </c>
      <c r="B35" s="5">
        <v>0.10998213611938901</v>
      </c>
      <c r="C35" s="5">
        <v>0.1245</v>
      </c>
      <c r="D35" s="9">
        <v>0.11114384427871569</v>
      </c>
      <c r="E35" s="4">
        <v>0.36290164115936902</v>
      </c>
      <c r="F35" s="10">
        <v>0.43</v>
      </c>
      <c r="G35" s="5">
        <v>0.55957579749179598</v>
      </c>
    </row>
    <row r="36" spans="1:7" x14ac:dyDescent="0.3">
      <c r="A36" t="s">
        <v>16</v>
      </c>
      <c r="B36" s="4">
        <v>2.25413253756285</v>
      </c>
      <c r="C36" s="10"/>
      <c r="D36" s="9">
        <v>1.0558750520350839</v>
      </c>
      <c r="E36" s="4">
        <v>0.39450300367922397</v>
      </c>
      <c r="G36" s="4"/>
    </row>
    <row r="37" spans="1:7" x14ac:dyDescent="0.3">
      <c r="A37" t="s">
        <v>2</v>
      </c>
      <c r="B37" s="4">
        <v>0.45944940476190399</v>
      </c>
      <c r="C37" s="10">
        <v>0.51</v>
      </c>
      <c r="D37" s="5">
        <v>0.59603174603174602</v>
      </c>
      <c r="E37" s="4">
        <v>0.68886408730158699</v>
      </c>
      <c r="F37" s="10">
        <v>0.75</v>
      </c>
      <c r="G37" s="4">
        <v>0.75771294433266267</v>
      </c>
    </row>
    <row r="38" spans="1:7" x14ac:dyDescent="0.3">
      <c r="A38" t="s">
        <v>3</v>
      </c>
      <c r="B38" s="4">
        <v>0.71384773662551437</v>
      </c>
      <c r="C38" s="10">
        <v>0.59</v>
      </c>
      <c r="D38" s="5">
        <v>0.78696234439078849</v>
      </c>
      <c r="E38" s="4">
        <v>0.89806584362139918</v>
      </c>
      <c r="F38" s="10">
        <v>0.96</v>
      </c>
      <c r="G38" s="4">
        <v>0.96264423426921319</v>
      </c>
    </row>
    <row r="39" spans="1:7" x14ac:dyDescent="0.3">
      <c r="A39" t="s">
        <v>4</v>
      </c>
      <c r="B39" s="4">
        <v>0.6953125</v>
      </c>
      <c r="C39" s="10">
        <v>0.55000000000000004</v>
      </c>
      <c r="D39" s="5">
        <v>0.77270408163265303</v>
      </c>
      <c r="E39" s="4">
        <v>0.9296875</v>
      </c>
      <c r="F39" s="10">
        <v>0.91</v>
      </c>
      <c r="G39" s="5">
        <v>0.95714285714285707</v>
      </c>
    </row>
    <row r="40" spans="1:7" x14ac:dyDescent="0.3">
      <c r="A40" t="s">
        <v>5</v>
      </c>
      <c r="B40" s="4">
        <v>0.61995884773662546</v>
      </c>
      <c r="C40" s="4">
        <v>0.7</v>
      </c>
      <c r="D40" s="9">
        <v>0.70421267198912862</v>
      </c>
      <c r="E40" s="4">
        <v>0.89936213991769554</v>
      </c>
      <c r="F40" s="1">
        <v>0.93</v>
      </c>
      <c r="G40" s="4">
        <v>0.91104779902448496</v>
      </c>
    </row>
    <row r="41" spans="1:7" x14ac:dyDescent="0.3">
      <c r="A41" t="s">
        <v>6</v>
      </c>
      <c r="B41" s="4">
        <v>0.59375</v>
      </c>
      <c r="C41" s="1">
        <v>0.73</v>
      </c>
      <c r="D41" s="9">
        <v>0.69968112244897962</v>
      </c>
      <c r="E41" s="4">
        <v>0.90625</v>
      </c>
      <c r="F41" s="10">
        <v>0.75</v>
      </c>
      <c r="G41" s="5">
        <v>0.91377551020408165</v>
      </c>
    </row>
    <row r="42" spans="1:7" x14ac:dyDescent="0.3">
      <c r="A42" t="s">
        <v>7</v>
      </c>
      <c r="B42" s="4">
        <v>0.98750000000000004</v>
      </c>
      <c r="C42" s="10">
        <v>1</v>
      </c>
      <c r="D42" s="4">
        <v>1</v>
      </c>
      <c r="E42" s="4">
        <v>0.94539835164835095</v>
      </c>
      <c r="F42" s="1">
        <v>0.72</v>
      </c>
      <c r="G42" s="4">
        <v>0.77892857142857141</v>
      </c>
    </row>
    <row r="43" spans="1:7" x14ac:dyDescent="0.3">
      <c r="A43" t="s">
        <v>8</v>
      </c>
      <c r="B43" s="4">
        <v>0.92305402930402902</v>
      </c>
      <c r="C43" s="10">
        <v>0.69</v>
      </c>
      <c r="D43" s="5">
        <v>0.50424107142857144</v>
      </c>
      <c r="E43" s="4">
        <v>0.89010989010988995</v>
      </c>
      <c r="F43" s="10">
        <v>0.74</v>
      </c>
      <c r="G43" s="5">
        <v>0.70457482993197285</v>
      </c>
    </row>
    <row r="44" spans="1:7" x14ac:dyDescent="0.3">
      <c r="A44" t="s">
        <v>9</v>
      </c>
      <c r="B44" s="4">
        <v>1.1111111104938269</v>
      </c>
      <c r="C44" s="10">
        <v>0.99</v>
      </c>
      <c r="D44" s="4">
        <v>1.17647058754325</v>
      </c>
      <c r="E44" s="4">
        <v>1.4545454532231401</v>
      </c>
      <c r="F44" s="10">
        <v>2.67</v>
      </c>
      <c r="G44" s="5">
        <v>1.2307692298224799</v>
      </c>
    </row>
    <row r="45" spans="1:7" x14ac:dyDescent="0.3">
      <c r="A45" t="s">
        <v>10</v>
      </c>
      <c r="B45" s="5">
        <v>5.5555555555555497E-2</v>
      </c>
      <c r="C45" s="10">
        <v>0.08</v>
      </c>
      <c r="D45" s="4">
        <v>0.1111111111111111</v>
      </c>
      <c r="E45" s="4">
        <v>0.5</v>
      </c>
      <c r="F45" s="10">
        <v>0.38</v>
      </c>
      <c r="G45" s="4">
        <v>0.52777777777777701</v>
      </c>
    </row>
    <row r="50" spans="1:7" x14ac:dyDescent="0.3">
      <c r="B50" s="12" t="s">
        <v>34</v>
      </c>
      <c r="C50" s="12"/>
      <c r="D50" s="12"/>
    </row>
    <row r="51" spans="1:7" x14ac:dyDescent="0.3">
      <c r="B51" s="1" t="s">
        <v>12</v>
      </c>
      <c r="C51" s="2" t="s">
        <v>19</v>
      </c>
      <c r="D51" s="1" t="s">
        <v>18</v>
      </c>
      <c r="E51" s="1" t="s">
        <v>12</v>
      </c>
      <c r="F51" s="2" t="s">
        <v>19</v>
      </c>
      <c r="G51" s="1" t="s">
        <v>18</v>
      </c>
    </row>
    <row r="52" spans="1:7" x14ac:dyDescent="0.3">
      <c r="A52" s="13" t="s">
        <v>21</v>
      </c>
      <c r="B52" s="4">
        <v>8.3492165024618606E-2</v>
      </c>
      <c r="C52" s="4">
        <v>0.08</v>
      </c>
      <c r="D52" s="10">
        <v>0.08</v>
      </c>
      <c r="E52" s="4">
        <v>2.29725886781663E-2</v>
      </c>
      <c r="F52" s="10">
        <v>0.02</v>
      </c>
      <c r="G52" s="10">
        <v>0.02</v>
      </c>
    </row>
    <row r="53" spans="1:7" x14ac:dyDescent="0.3">
      <c r="A53" s="13" t="s">
        <v>22</v>
      </c>
      <c r="B53" s="4">
        <v>7.3806046610133194E-2</v>
      </c>
      <c r="C53" s="4">
        <v>0.08</v>
      </c>
      <c r="D53" s="10">
        <v>0.08</v>
      </c>
      <c r="E53" s="4">
        <v>0.61333498950919296</v>
      </c>
      <c r="F53" s="10">
        <v>0.72</v>
      </c>
      <c r="G53" s="1">
        <v>0.85</v>
      </c>
    </row>
    <row r="54" spans="1:7" x14ac:dyDescent="0.3">
      <c r="A54" s="13" t="s">
        <v>23</v>
      </c>
      <c r="B54" s="4">
        <v>0.3288058856819468</v>
      </c>
      <c r="C54" s="9">
        <v>0.39</v>
      </c>
      <c r="D54" s="1">
        <v>0.45</v>
      </c>
      <c r="E54" s="4">
        <v>0.75693265421618561</v>
      </c>
      <c r="F54" s="10">
        <v>0.78</v>
      </c>
      <c r="G54" s="1">
        <v>0.83</v>
      </c>
    </row>
    <row r="55" spans="1:7" x14ac:dyDescent="0.3">
      <c r="A55" s="13" t="s">
        <v>24</v>
      </c>
      <c r="C55" s="4"/>
      <c r="D55" s="10"/>
      <c r="E55" s="4"/>
      <c r="F55" s="10"/>
      <c r="G55" s="10"/>
    </row>
    <row r="56" spans="1:7" x14ac:dyDescent="0.3">
      <c r="A56" s="13" t="s">
        <v>25</v>
      </c>
      <c r="B56" s="4">
        <v>4.6576879910213198E-2</v>
      </c>
      <c r="C56" s="9">
        <v>0.43</v>
      </c>
      <c r="D56" s="1">
        <v>0.62</v>
      </c>
      <c r="E56" s="4">
        <v>0.93755010421677076</v>
      </c>
      <c r="F56" s="10">
        <v>0.95</v>
      </c>
      <c r="G56" s="1">
        <v>0.96</v>
      </c>
    </row>
    <row r="57" spans="1:7" x14ac:dyDescent="0.3">
      <c r="A57" s="13" t="s">
        <v>26</v>
      </c>
      <c r="B57" s="4">
        <v>3.5714285714285698E-2</v>
      </c>
      <c r="C57" s="5">
        <v>0.79</v>
      </c>
      <c r="D57" s="10">
        <v>0.61</v>
      </c>
      <c r="E57" s="4">
        <v>0.82142857142857151</v>
      </c>
      <c r="F57" s="10">
        <v>0.93</v>
      </c>
      <c r="G57" s="1">
        <v>0.96</v>
      </c>
    </row>
    <row r="58" spans="1:7" x14ac:dyDescent="0.3">
      <c r="A58" s="13" t="s">
        <v>27</v>
      </c>
      <c r="B58" s="4">
        <v>0.5</v>
      </c>
      <c r="C58" s="9">
        <v>0.5</v>
      </c>
      <c r="D58" s="1">
        <v>0.82</v>
      </c>
      <c r="E58" s="4">
        <v>0.93386243386243384</v>
      </c>
      <c r="F58" s="10">
        <v>0.98</v>
      </c>
      <c r="G58" s="1">
        <v>0.99</v>
      </c>
    </row>
    <row r="59" spans="1:7" x14ac:dyDescent="0.3">
      <c r="A59" s="13" t="s">
        <v>28</v>
      </c>
      <c r="B59" s="4">
        <v>0.5</v>
      </c>
      <c r="C59" s="9">
        <v>0.5</v>
      </c>
      <c r="D59" s="1">
        <v>0.82</v>
      </c>
      <c r="E59" s="4">
        <v>0.94642857142857162</v>
      </c>
      <c r="F59" s="10">
        <v>0.98</v>
      </c>
      <c r="G59" s="1">
        <v>0.99</v>
      </c>
    </row>
    <row r="60" spans="1:7" x14ac:dyDescent="0.3">
      <c r="A60" s="13" t="s">
        <v>29</v>
      </c>
      <c r="B60" s="4">
        <v>0.99953831948291783</v>
      </c>
      <c r="C60" s="9">
        <v>0.99</v>
      </c>
      <c r="D60" s="14">
        <v>0.99</v>
      </c>
      <c r="E60" s="4">
        <v>0.988026607538802</v>
      </c>
      <c r="F60" s="10">
        <v>0.96</v>
      </c>
      <c r="G60" s="1">
        <v>0.94</v>
      </c>
    </row>
    <row r="61" spans="1:7" x14ac:dyDescent="0.3">
      <c r="A61" s="13" t="s">
        <v>30</v>
      </c>
      <c r="B61" s="4">
        <v>0.99976915974145875</v>
      </c>
      <c r="C61" s="9">
        <v>0.95</v>
      </c>
      <c r="D61" s="14">
        <v>0.96</v>
      </c>
      <c r="E61" s="4">
        <v>0.95790031813361598</v>
      </c>
      <c r="F61" s="10">
        <v>0.87</v>
      </c>
      <c r="G61" s="1">
        <v>0.84</v>
      </c>
    </row>
    <row r="62" spans="1:7" x14ac:dyDescent="0.3">
      <c r="A62" s="13" t="s">
        <v>31</v>
      </c>
      <c r="B62" s="4">
        <v>2.4285714251020409</v>
      </c>
      <c r="C62" s="4">
        <v>2.04</v>
      </c>
      <c r="D62" s="1">
        <v>0.85</v>
      </c>
      <c r="E62" s="4">
        <v>1.7272727257024789</v>
      </c>
      <c r="F62" s="4">
        <v>2</v>
      </c>
      <c r="G62" s="1">
        <v>1.25</v>
      </c>
    </row>
    <row r="63" spans="1:7" x14ac:dyDescent="0.3">
      <c r="A63" s="13" t="s">
        <v>32</v>
      </c>
      <c r="B63" s="4">
        <v>0</v>
      </c>
      <c r="C63" s="4">
        <v>0</v>
      </c>
      <c r="D63" s="9">
        <v>0</v>
      </c>
      <c r="E63" s="4">
        <v>0.18421052631578941</v>
      </c>
      <c r="F63" s="1">
        <v>0.04</v>
      </c>
      <c r="G63" s="10">
        <v>0.08</v>
      </c>
    </row>
    <row r="65" spans="1:10" ht="15" thickBot="1" x14ac:dyDescent="0.35"/>
    <row r="66" spans="1:10" x14ac:dyDescent="0.3">
      <c r="B66" s="17" t="s">
        <v>20</v>
      </c>
      <c r="C66" s="18"/>
      <c r="D66" s="19"/>
      <c r="E66" s="17" t="s">
        <v>36</v>
      </c>
      <c r="F66" s="18"/>
      <c r="G66" s="19"/>
      <c r="H66" s="22"/>
      <c r="I66" s="11"/>
      <c r="J66" s="11"/>
    </row>
    <row r="67" spans="1:10" x14ac:dyDescent="0.3">
      <c r="B67" s="20" t="s">
        <v>12</v>
      </c>
      <c r="C67" s="2" t="s">
        <v>19</v>
      </c>
      <c r="D67" s="20" t="s">
        <v>18</v>
      </c>
      <c r="E67" s="20" t="s">
        <v>12</v>
      </c>
      <c r="F67" s="2" t="s">
        <v>19</v>
      </c>
      <c r="G67" s="20" t="s">
        <v>18</v>
      </c>
    </row>
    <row r="68" spans="1:10" x14ac:dyDescent="0.3">
      <c r="A68" s="13" t="s">
        <v>21</v>
      </c>
      <c r="B68" s="4">
        <f>AVERAGE(B34,B52)</f>
        <v>8.1901776706586202E-2</v>
      </c>
      <c r="C68" s="4">
        <f>AVERAGE(C34,C52)</f>
        <v>7.5000000000000011E-2</v>
      </c>
      <c r="D68" s="4">
        <f>AVERAGE(D34,D52)</f>
        <v>7.0970804173551866E-2</v>
      </c>
      <c r="E68" s="4">
        <f>AVERAGE(E34,E52)</f>
        <v>2.568978241286745E-2</v>
      </c>
      <c r="F68" s="15">
        <f>AVERAGE(F34,F52)</f>
        <v>2.5000000000000001E-2</v>
      </c>
      <c r="G68" s="5">
        <f>AVERAGE(G34,G52)</f>
        <v>2.2328727218008829E-2</v>
      </c>
    </row>
    <row r="69" spans="1:10" x14ac:dyDescent="0.3">
      <c r="A69" s="13" t="s">
        <v>22</v>
      </c>
      <c r="B69" s="4">
        <f>AVERAGE(B35,B53)</f>
        <v>9.1894091364761094E-2</v>
      </c>
      <c r="C69" s="4">
        <f>AVERAGE(C35,C53)</f>
        <v>0.10225000000000001</v>
      </c>
      <c r="D69" s="4">
        <f>AVERAGE(D35,D53)</f>
        <v>9.5571922139357848E-2</v>
      </c>
      <c r="E69" s="4">
        <f>AVERAGE(E35,E53)</f>
        <v>0.48811831533428096</v>
      </c>
      <c r="F69" s="15">
        <f>AVERAGE(F35,F53)</f>
        <v>0.57499999999999996</v>
      </c>
      <c r="G69" s="5">
        <f>AVERAGE(G35,G53)</f>
        <v>0.70478789874589798</v>
      </c>
    </row>
    <row r="70" spans="1:10" x14ac:dyDescent="0.3">
      <c r="A70" s="13" t="s">
        <v>23</v>
      </c>
      <c r="B70" s="4">
        <f t="shared" ref="B70:G79" si="5">AVERAGE(B36,B54)</f>
        <v>1.2914692116223985</v>
      </c>
      <c r="C70" s="4">
        <f t="shared" si="5"/>
        <v>0.39</v>
      </c>
      <c r="D70" s="5">
        <f t="shared" si="5"/>
        <v>0.75293752601754194</v>
      </c>
      <c r="E70" s="4">
        <f t="shared" si="5"/>
        <v>0.57571782894770474</v>
      </c>
      <c r="F70" s="21">
        <f t="shared" si="5"/>
        <v>0.78</v>
      </c>
      <c r="G70" s="4">
        <f>AVERAGE(G37,G54)</f>
        <v>0.79385647216633126</v>
      </c>
    </row>
    <row r="71" spans="1:10" x14ac:dyDescent="0.3">
      <c r="A71" s="13" t="s">
        <v>24</v>
      </c>
      <c r="B71" s="4"/>
      <c r="C71" s="4"/>
      <c r="D71" s="4"/>
      <c r="E71" s="4"/>
      <c r="F71" s="15"/>
      <c r="G71" s="4"/>
    </row>
    <row r="72" spans="1:10" x14ac:dyDescent="0.3">
      <c r="A72" s="13" t="s">
        <v>25</v>
      </c>
      <c r="B72" s="4">
        <f t="shared" si="5"/>
        <v>0.38021230826786379</v>
      </c>
      <c r="C72" s="4">
        <f t="shared" ref="C71:C79" si="6">AVERAGE(C38,C56)</f>
        <v>0.51</v>
      </c>
      <c r="D72" s="5">
        <f t="shared" ref="D71:D79" si="7">AVERAGE(D38,D56)</f>
        <v>0.70348117219539419</v>
      </c>
      <c r="E72" s="4">
        <f t="shared" ref="E71:E79" si="8">AVERAGE(E38,E56)</f>
        <v>0.91780797391908497</v>
      </c>
      <c r="F72" s="15">
        <f t="shared" ref="F71:F79" si="9">AVERAGE(F38,F56)</f>
        <v>0.95499999999999996</v>
      </c>
      <c r="G72" s="4">
        <f t="shared" ref="G71:G79" si="10">AVERAGE(G38,G56)</f>
        <v>0.96132211713460658</v>
      </c>
    </row>
    <row r="73" spans="1:10" x14ac:dyDescent="0.3">
      <c r="A73" s="13" t="s">
        <v>26</v>
      </c>
      <c r="B73" s="4">
        <f t="shared" si="5"/>
        <v>0.36551339285714285</v>
      </c>
      <c r="C73" s="4">
        <f t="shared" si="6"/>
        <v>0.67</v>
      </c>
      <c r="D73" s="5">
        <f t="shared" si="7"/>
        <v>0.69135204081632651</v>
      </c>
      <c r="E73" s="4">
        <f t="shared" si="8"/>
        <v>0.87555803571428581</v>
      </c>
      <c r="F73" s="15">
        <f t="shared" si="9"/>
        <v>0.92</v>
      </c>
      <c r="G73" s="5">
        <f t="shared" si="10"/>
        <v>0.95857142857142852</v>
      </c>
    </row>
    <row r="74" spans="1:10" x14ac:dyDescent="0.3">
      <c r="A74" s="13" t="s">
        <v>27</v>
      </c>
      <c r="B74" s="4">
        <f t="shared" si="5"/>
        <v>0.55997942386831268</v>
      </c>
      <c r="C74" s="4">
        <f t="shared" si="6"/>
        <v>0.6</v>
      </c>
      <c r="D74" s="5">
        <f t="shared" si="7"/>
        <v>0.76210633599456434</v>
      </c>
      <c r="E74" s="4">
        <f t="shared" si="8"/>
        <v>0.91661228689006469</v>
      </c>
      <c r="F74" s="15">
        <f t="shared" si="9"/>
        <v>0.95500000000000007</v>
      </c>
      <c r="G74" s="4">
        <f t="shared" si="10"/>
        <v>0.95052389951224248</v>
      </c>
    </row>
    <row r="75" spans="1:10" x14ac:dyDescent="0.3">
      <c r="A75" s="13" t="s">
        <v>28</v>
      </c>
      <c r="B75" s="4">
        <f t="shared" si="5"/>
        <v>0.546875</v>
      </c>
      <c r="C75" s="4">
        <f t="shared" si="6"/>
        <v>0.61499999999999999</v>
      </c>
      <c r="D75" s="5">
        <f t="shared" si="7"/>
        <v>0.75984056122448984</v>
      </c>
      <c r="E75" s="4">
        <f t="shared" si="8"/>
        <v>0.92633928571428581</v>
      </c>
      <c r="F75" s="15">
        <f t="shared" si="9"/>
        <v>0.86499999999999999</v>
      </c>
      <c r="G75" s="5">
        <f t="shared" si="10"/>
        <v>0.95188775510204082</v>
      </c>
    </row>
    <row r="76" spans="1:10" x14ac:dyDescent="0.3">
      <c r="A76" s="13" t="s">
        <v>29</v>
      </c>
      <c r="B76" s="4">
        <f t="shared" si="5"/>
        <v>0.99351915974145899</v>
      </c>
      <c r="C76" s="4">
        <f t="shared" si="6"/>
        <v>0.995</v>
      </c>
      <c r="D76" s="4">
        <f t="shared" si="7"/>
        <v>0.995</v>
      </c>
      <c r="E76" s="4">
        <f t="shared" si="8"/>
        <v>0.96671247959357642</v>
      </c>
      <c r="F76" s="15">
        <f t="shared" si="9"/>
        <v>0.84</v>
      </c>
      <c r="G76" s="4">
        <f>AVERAGE(G42,G60)</f>
        <v>0.85946428571428568</v>
      </c>
    </row>
    <row r="77" spans="1:10" x14ac:dyDescent="0.3">
      <c r="A77" s="13" t="s">
        <v>30</v>
      </c>
      <c r="B77" s="4">
        <f t="shared" si="5"/>
        <v>0.96141159452274394</v>
      </c>
      <c r="C77" s="4">
        <f t="shared" si="6"/>
        <v>0.82</v>
      </c>
      <c r="D77" s="5">
        <f t="shared" si="7"/>
        <v>0.7321205357142857</v>
      </c>
      <c r="E77" s="4">
        <f t="shared" si="8"/>
        <v>0.92400510412175296</v>
      </c>
      <c r="F77" s="15">
        <f t="shared" si="9"/>
        <v>0.80499999999999994</v>
      </c>
      <c r="G77" s="5">
        <f t="shared" si="10"/>
        <v>0.77228741496598641</v>
      </c>
    </row>
    <row r="78" spans="1:10" x14ac:dyDescent="0.3">
      <c r="A78" s="13" t="s">
        <v>31</v>
      </c>
      <c r="B78" s="4">
        <f t="shared" si="5"/>
        <v>1.769841267797934</v>
      </c>
      <c r="C78" s="4">
        <f t="shared" si="6"/>
        <v>1.5150000000000001</v>
      </c>
      <c r="D78" s="5">
        <f t="shared" si="7"/>
        <v>1.0132352937716249</v>
      </c>
      <c r="E78" s="4">
        <f t="shared" si="8"/>
        <v>1.5909090894628095</v>
      </c>
      <c r="F78" s="15">
        <f t="shared" si="9"/>
        <v>2.335</v>
      </c>
      <c r="G78" s="5">
        <f t="shared" si="10"/>
        <v>1.2403846149112399</v>
      </c>
    </row>
    <row r="79" spans="1:10" x14ac:dyDescent="0.3">
      <c r="A79" s="13" t="s">
        <v>32</v>
      </c>
      <c r="B79" s="4">
        <f t="shared" si="5"/>
        <v>2.7777777777777748E-2</v>
      </c>
      <c r="C79" s="5">
        <f t="shared" si="6"/>
        <v>0.04</v>
      </c>
      <c r="D79" s="4">
        <f t="shared" si="7"/>
        <v>5.5555555555555552E-2</v>
      </c>
      <c r="E79" s="4">
        <f t="shared" si="8"/>
        <v>0.34210526315789469</v>
      </c>
      <c r="F79" s="16">
        <f t="shared" si="9"/>
        <v>0.21</v>
      </c>
      <c r="G79" s="4">
        <f t="shared" si="10"/>
        <v>0.30388888888888849</v>
      </c>
    </row>
  </sheetData>
  <mergeCells count="6">
    <mergeCell ref="B32:D32"/>
    <mergeCell ref="B50:D50"/>
    <mergeCell ref="E32:G32"/>
    <mergeCell ref="B66:D66"/>
    <mergeCell ref="E66:G66"/>
    <mergeCell ref="H66:J6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2026-01-10T17:56:14Z</dcterms:modified>
</cp:coreProperties>
</file>